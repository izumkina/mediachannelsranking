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com\Desktop\Planner\media-rating-site\"/>
    </mc:Choice>
  </mc:AlternateContent>
  <xr:revisionPtr revIDLastSave="0" documentId="8_{9E4FB6CB-F089-4892-B7C8-25AFC7E2842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Качество" sheetId="7" r:id="rId1"/>
  </sheets>
  <definedNames>
    <definedName name="_xlnm._FilterDatabase" localSheetId="0" hidden="1">Качество!$A$1:$BG$126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131" i="7" l="1"/>
  <c r="BJ131" i="7"/>
  <c r="BK131" i="7"/>
  <c r="BI132" i="7"/>
  <c r="BJ132" i="7"/>
  <c r="BK132" i="7"/>
  <c r="BN3" i="7"/>
  <c r="BQ3" i="7" s="1"/>
  <c r="BN4" i="7"/>
  <c r="BN5" i="7"/>
  <c r="BN6" i="7"/>
  <c r="BQ6" i="7" s="1"/>
  <c r="BN7" i="7"/>
  <c r="BQ7" i="7" s="1"/>
  <c r="BN8" i="7"/>
  <c r="BN9" i="7"/>
  <c r="BQ9" i="7" s="1"/>
  <c r="BN10" i="7"/>
  <c r="BN132" i="7" s="1"/>
  <c r="BN11" i="7"/>
  <c r="BQ11" i="7" s="1"/>
  <c r="BN12" i="7"/>
  <c r="BN13" i="7"/>
  <c r="BN14" i="7"/>
  <c r="BQ14" i="7" s="1"/>
  <c r="BN15" i="7"/>
  <c r="BQ15" i="7" s="1"/>
  <c r="BN16" i="7"/>
  <c r="BN17" i="7"/>
  <c r="BQ17" i="7" s="1"/>
  <c r="BN18" i="7"/>
  <c r="BQ18" i="7" s="1"/>
  <c r="BN19" i="7"/>
  <c r="BQ19" i="7" s="1"/>
  <c r="BN20" i="7"/>
  <c r="BN21" i="7"/>
  <c r="BN22" i="7"/>
  <c r="BQ22" i="7" s="1"/>
  <c r="BN23" i="7"/>
  <c r="BQ23" i="7" s="1"/>
  <c r="BN24" i="7"/>
  <c r="BN25" i="7"/>
  <c r="BQ25" i="7" s="1"/>
  <c r="BN26" i="7"/>
  <c r="BQ26" i="7" s="1"/>
  <c r="BN27" i="7"/>
  <c r="BQ27" i="7" s="1"/>
  <c r="BN28" i="7"/>
  <c r="BN29" i="7"/>
  <c r="BN30" i="7"/>
  <c r="BQ30" i="7" s="1"/>
  <c r="BN31" i="7"/>
  <c r="BQ31" i="7" s="1"/>
  <c r="BN32" i="7"/>
  <c r="BN33" i="7"/>
  <c r="BQ33" i="7" s="1"/>
  <c r="BN34" i="7"/>
  <c r="BQ34" i="7" s="1"/>
  <c r="BN35" i="7"/>
  <c r="BQ35" i="7" s="1"/>
  <c r="BN36" i="7"/>
  <c r="BN37" i="7"/>
  <c r="BN38" i="7"/>
  <c r="BQ38" i="7" s="1"/>
  <c r="BN39" i="7"/>
  <c r="BQ39" i="7" s="1"/>
  <c r="BN40" i="7"/>
  <c r="BN41" i="7"/>
  <c r="BN42" i="7"/>
  <c r="BQ42" i="7" s="1"/>
  <c r="BN43" i="7"/>
  <c r="BQ43" i="7" s="1"/>
  <c r="BN44" i="7"/>
  <c r="BQ44" i="7" s="1"/>
  <c r="BN45" i="7"/>
  <c r="BN46" i="7"/>
  <c r="BQ46" i="7" s="1"/>
  <c r="BN47" i="7"/>
  <c r="BQ47" i="7" s="1"/>
  <c r="BN48" i="7"/>
  <c r="BN49" i="7"/>
  <c r="BN50" i="7"/>
  <c r="BQ50" i="7" s="1"/>
  <c r="BN51" i="7"/>
  <c r="BQ51" i="7" s="1"/>
  <c r="BN52" i="7"/>
  <c r="BQ52" i="7" s="1"/>
  <c r="BN53" i="7"/>
  <c r="BN54" i="7"/>
  <c r="BQ54" i="7" s="1"/>
  <c r="BN55" i="7"/>
  <c r="BQ55" i="7" s="1"/>
  <c r="BN56" i="7"/>
  <c r="BN57" i="7"/>
  <c r="BN58" i="7"/>
  <c r="BQ58" i="7" s="1"/>
  <c r="BN59" i="7"/>
  <c r="BQ59" i="7" s="1"/>
  <c r="BN60" i="7"/>
  <c r="BQ60" i="7" s="1"/>
  <c r="BN61" i="7"/>
  <c r="BN62" i="7"/>
  <c r="BQ62" i="7" s="1"/>
  <c r="BN63" i="7"/>
  <c r="BQ63" i="7" s="1"/>
  <c r="BN64" i="7"/>
  <c r="BN65" i="7"/>
  <c r="BN66" i="7"/>
  <c r="BQ66" i="7" s="1"/>
  <c r="BN67" i="7"/>
  <c r="BQ67" i="7" s="1"/>
  <c r="BN68" i="7"/>
  <c r="BQ68" i="7" s="1"/>
  <c r="BN69" i="7"/>
  <c r="BN70" i="7"/>
  <c r="BQ70" i="7" s="1"/>
  <c r="BN71" i="7"/>
  <c r="BQ71" i="7" s="1"/>
  <c r="BN72" i="7"/>
  <c r="BN73" i="7"/>
  <c r="BN74" i="7"/>
  <c r="BQ74" i="7" s="1"/>
  <c r="BN75" i="7"/>
  <c r="BQ75" i="7" s="1"/>
  <c r="BN76" i="7"/>
  <c r="BQ76" i="7" s="1"/>
  <c r="BN77" i="7"/>
  <c r="BN78" i="7"/>
  <c r="BQ78" i="7" s="1"/>
  <c r="BN79" i="7"/>
  <c r="BQ79" i="7" s="1"/>
  <c r="BN80" i="7"/>
  <c r="BN81" i="7"/>
  <c r="BN82" i="7"/>
  <c r="BQ82" i="7" s="1"/>
  <c r="BN83" i="7"/>
  <c r="BQ83" i="7" s="1"/>
  <c r="BN84" i="7"/>
  <c r="BQ84" i="7" s="1"/>
  <c r="BN85" i="7"/>
  <c r="BN86" i="7"/>
  <c r="BQ86" i="7" s="1"/>
  <c r="BN87" i="7"/>
  <c r="BQ87" i="7" s="1"/>
  <c r="BN88" i="7"/>
  <c r="BN89" i="7"/>
  <c r="BN90" i="7"/>
  <c r="BQ90" i="7" s="1"/>
  <c r="BN91" i="7"/>
  <c r="BQ91" i="7" s="1"/>
  <c r="BN92" i="7"/>
  <c r="BQ92" i="7" s="1"/>
  <c r="BN93" i="7"/>
  <c r="BN94" i="7"/>
  <c r="BQ94" i="7" s="1"/>
  <c r="BN95" i="7"/>
  <c r="BQ95" i="7" s="1"/>
  <c r="BN96" i="7"/>
  <c r="BN97" i="7"/>
  <c r="BN98" i="7"/>
  <c r="BQ98" i="7" s="1"/>
  <c r="BN99" i="7"/>
  <c r="BQ99" i="7" s="1"/>
  <c r="BN100" i="7"/>
  <c r="BQ100" i="7" s="1"/>
  <c r="BN101" i="7"/>
  <c r="BN102" i="7"/>
  <c r="BQ102" i="7" s="1"/>
  <c r="BN103" i="7"/>
  <c r="BQ103" i="7" s="1"/>
  <c r="BN104" i="7"/>
  <c r="BN105" i="7"/>
  <c r="BN106" i="7"/>
  <c r="BQ106" i="7" s="1"/>
  <c r="BN107" i="7"/>
  <c r="BQ107" i="7" s="1"/>
  <c r="BN108" i="7"/>
  <c r="BQ108" i="7" s="1"/>
  <c r="BN109" i="7"/>
  <c r="BN110" i="7"/>
  <c r="BQ110" i="7" s="1"/>
  <c r="BN111" i="7"/>
  <c r="BQ111" i="7" s="1"/>
  <c r="BN112" i="7"/>
  <c r="BN113" i="7"/>
  <c r="BN114" i="7"/>
  <c r="BQ114" i="7" s="1"/>
  <c r="BN115" i="7"/>
  <c r="BQ115" i="7" s="1"/>
  <c r="BN116" i="7"/>
  <c r="BQ116" i="7" s="1"/>
  <c r="BN117" i="7"/>
  <c r="BN118" i="7"/>
  <c r="BQ118" i="7" s="1"/>
  <c r="BN119" i="7"/>
  <c r="BQ119" i="7" s="1"/>
  <c r="BN120" i="7"/>
  <c r="BN121" i="7"/>
  <c r="BN122" i="7"/>
  <c r="BQ122" i="7" s="1"/>
  <c r="BN123" i="7"/>
  <c r="BQ123" i="7" s="1"/>
  <c r="BN124" i="7"/>
  <c r="BQ124" i="7" s="1"/>
  <c r="BN125" i="7"/>
  <c r="BN126" i="7"/>
  <c r="BQ126" i="7" s="1"/>
  <c r="BN127" i="7"/>
  <c r="BQ127" i="7" s="1"/>
  <c r="BN2" i="7"/>
  <c r="BN131" i="7" s="1"/>
  <c r="BM6" i="7"/>
  <c r="BM7" i="7"/>
  <c r="BM8" i="7"/>
  <c r="BM9" i="7"/>
  <c r="BM10" i="7"/>
  <c r="BM11" i="7"/>
  <c r="BM12" i="7"/>
  <c r="BM13" i="7"/>
  <c r="BM14" i="7"/>
  <c r="BM15" i="7"/>
  <c r="BM16" i="7"/>
  <c r="BM17" i="7"/>
  <c r="BM18" i="7"/>
  <c r="BM19" i="7"/>
  <c r="BM20" i="7"/>
  <c r="BM21" i="7"/>
  <c r="BM22" i="7"/>
  <c r="BM23" i="7"/>
  <c r="BM24" i="7"/>
  <c r="BM25" i="7"/>
  <c r="BM26" i="7"/>
  <c r="BM27" i="7"/>
  <c r="BM28" i="7"/>
  <c r="BM29" i="7"/>
  <c r="BM30" i="7"/>
  <c r="BM31" i="7"/>
  <c r="BM32" i="7"/>
  <c r="BM33" i="7"/>
  <c r="BM34" i="7"/>
  <c r="BM35" i="7"/>
  <c r="BM36" i="7"/>
  <c r="BM37" i="7"/>
  <c r="BM38" i="7"/>
  <c r="BM39" i="7"/>
  <c r="BM40" i="7"/>
  <c r="BM41" i="7"/>
  <c r="BM42" i="7"/>
  <c r="BM43" i="7"/>
  <c r="BM44" i="7"/>
  <c r="BM45" i="7"/>
  <c r="BM46" i="7"/>
  <c r="BM47" i="7"/>
  <c r="BM48" i="7"/>
  <c r="BM49" i="7"/>
  <c r="BM50" i="7"/>
  <c r="BM51" i="7"/>
  <c r="BM52" i="7"/>
  <c r="BM53" i="7"/>
  <c r="BM54" i="7"/>
  <c r="BM55" i="7"/>
  <c r="BM56" i="7"/>
  <c r="BM57" i="7"/>
  <c r="BM58" i="7"/>
  <c r="BM59" i="7"/>
  <c r="BM60" i="7"/>
  <c r="BM61" i="7"/>
  <c r="BM62" i="7"/>
  <c r="BM63" i="7"/>
  <c r="BM64" i="7"/>
  <c r="BM65" i="7"/>
  <c r="BM66" i="7"/>
  <c r="BM67" i="7"/>
  <c r="BM68" i="7"/>
  <c r="BM69" i="7"/>
  <c r="BM70" i="7"/>
  <c r="BM71" i="7"/>
  <c r="BM72" i="7"/>
  <c r="BM73" i="7"/>
  <c r="BM74" i="7"/>
  <c r="BM75" i="7"/>
  <c r="BM76" i="7"/>
  <c r="BM77" i="7"/>
  <c r="BM78" i="7"/>
  <c r="BM79" i="7"/>
  <c r="BM80" i="7"/>
  <c r="BM81" i="7"/>
  <c r="BM82" i="7"/>
  <c r="BM83" i="7"/>
  <c r="BM84" i="7"/>
  <c r="BM85" i="7"/>
  <c r="BM86" i="7"/>
  <c r="BM87" i="7"/>
  <c r="BM88" i="7"/>
  <c r="BM89" i="7"/>
  <c r="BM90" i="7"/>
  <c r="BM91" i="7"/>
  <c r="BM92" i="7"/>
  <c r="BM93" i="7"/>
  <c r="BM94" i="7"/>
  <c r="BM95" i="7"/>
  <c r="BM96" i="7"/>
  <c r="BM97" i="7"/>
  <c r="BM98" i="7"/>
  <c r="BM99" i="7"/>
  <c r="BM100" i="7"/>
  <c r="BM101" i="7"/>
  <c r="BM102" i="7"/>
  <c r="BM103" i="7"/>
  <c r="BM104" i="7"/>
  <c r="BM105" i="7"/>
  <c r="BM106" i="7"/>
  <c r="BM107" i="7"/>
  <c r="BM108" i="7"/>
  <c r="BM109" i="7"/>
  <c r="BM110" i="7"/>
  <c r="BM111" i="7"/>
  <c r="BM112" i="7"/>
  <c r="BM113" i="7"/>
  <c r="BM114" i="7"/>
  <c r="BM115" i="7"/>
  <c r="BM116" i="7"/>
  <c r="BM117" i="7"/>
  <c r="BM118" i="7"/>
  <c r="BM119" i="7"/>
  <c r="BM120" i="7"/>
  <c r="BM121" i="7"/>
  <c r="BM122" i="7"/>
  <c r="BM123" i="7"/>
  <c r="BM124" i="7"/>
  <c r="BM125" i="7"/>
  <c r="BM126" i="7"/>
  <c r="BM127" i="7"/>
  <c r="BM2" i="7"/>
  <c r="BM131" i="7" s="1"/>
  <c r="BM3" i="7"/>
  <c r="BM4" i="7"/>
  <c r="BM5" i="7"/>
  <c r="BP33" i="7" l="1"/>
  <c r="BP17" i="7"/>
  <c r="BP119" i="7"/>
  <c r="BP87" i="7"/>
  <c r="BP55" i="7"/>
  <c r="BP31" i="7"/>
  <c r="BP7" i="7"/>
  <c r="BP126" i="7"/>
  <c r="BP118" i="7"/>
  <c r="BP110" i="7"/>
  <c r="BP102" i="7"/>
  <c r="BP94" i="7"/>
  <c r="BP86" i="7"/>
  <c r="BP78" i="7"/>
  <c r="BP70" i="7"/>
  <c r="BP62" i="7"/>
  <c r="BP54" i="7"/>
  <c r="BP46" i="7"/>
  <c r="BP38" i="7"/>
  <c r="BP30" i="7"/>
  <c r="BP22" i="7"/>
  <c r="BP14" i="7"/>
  <c r="BP6" i="7"/>
  <c r="BP37" i="7"/>
  <c r="BP29" i="7"/>
  <c r="BP21" i="7"/>
  <c r="BP13" i="7"/>
  <c r="BQ2" i="7"/>
  <c r="BQ49" i="7"/>
  <c r="BQ81" i="7"/>
  <c r="BQ105" i="7"/>
  <c r="BQ125" i="7"/>
  <c r="BQ20" i="7"/>
  <c r="BQ53" i="7"/>
  <c r="BQ69" i="7"/>
  <c r="BQ85" i="7"/>
  <c r="BQ101" i="7"/>
  <c r="BQ117" i="7"/>
  <c r="BQ8" i="7"/>
  <c r="BQ28" i="7"/>
  <c r="BQ45" i="7"/>
  <c r="BQ73" i="7"/>
  <c r="BQ97" i="7"/>
  <c r="BQ121" i="7"/>
  <c r="BQ16" i="7"/>
  <c r="BQ32" i="7"/>
  <c r="BQ41" i="7"/>
  <c r="BQ89" i="7"/>
  <c r="BQ113" i="7"/>
  <c r="BQ12" i="7"/>
  <c r="BQ36" i="7"/>
  <c r="BQ57" i="7"/>
  <c r="BQ61" i="7"/>
  <c r="BQ65" i="7"/>
  <c r="BQ77" i="7"/>
  <c r="BQ93" i="7"/>
  <c r="BQ109" i="7"/>
  <c r="BQ4" i="7"/>
  <c r="BQ24" i="7"/>
  <c r="BQ120" i="7"/>
  <c r="BQ112" i="7"/>
  <c r="BQ104" i="7"/>
  <c r="BQ96" i="7"/>
  <c r="BQ88" i="7"/>
  <c r="BQ80" i="7"/>
  <c r="BQ72" i="7"/>
  <c r="BQ64" i="7"/>
  <c r="BQ56" i="7"/>
  <c r="BQ48" i="7"/>
  <c r="BQ40" i="7"/>
  <c r="BP25" i="7"/>
  <c r="BP9" i="7"/>
  <c r="BP127" i="7"/>
  <c r="BP95" i="7"/>
  <c r="BP71" i="7"/>
  <c r="BP47" i="7"/>
  <c r="BP15" i="7"/>
  <c r="BP116" i="7"/>
  <c r="BP92" i="7"/>
  <c r="BP76" i="7"/>
  <c r="BP52" i="7"/>
  <c r="BP59" i="7"/>
  <c r="BP80" i="7"/>
  <c r="BP3" i="7"/>
  <c r="BP27" i="7"/>
  <c r="BP40" i="7"/>
  <c r="BP72" i="7"/>
  <c r="BP96" i="7"/>
  <c r="BP48" i="7"/>
  <c r="BP56" i="7"/>
  <c r="BP64" i="7"/>
  <c r="BP88" i="7"/>
  <c r="BP112" i="7"/>
  <c r="BP19" i="7"/>
  <c r="BP35" i="7"/>
  <c r="BP104" i="7"/>
  <c r="BP120" i="7"/>
  <c r="BP11" i="7"/>
  <c r="BP41" i="7"/>
  <c r="BP45" i="7"/>
  <c r="BP49" i="7"/>
  <c r="BP53" i="7"/>
  <c r="BP57" i="7"/>
  <c r="BP61" i="7"/>
  <c r="BP65" i="7"/>
  <c r="BP69" i="7"/>
  <c r="BP73" i="7"/>
  <c r="BP77" i="7"/>
  <c r="BP81" i="7"/>
  <c r="BP85" i="7"/>
  <c r="BP89" i="7"/>
  <c r="BP93" i="7"/>
  <c r="BP97" i="7"/>
  <c r="BP101" i="7"/>
  <c r="BP105" i="7"/>
  <c r="BP109" i="7"/>
  <c r="BP113" i="7"/>
  <c r="BP117" i="7"/>
  <c r="BP121" i="7"/>
  <c r="BP125" i="7"/>
  <c r="BP4" i="7"/>
  <c r="BP8" i="7"/>
  <c r="BP16" i="7"/>
  <c r="BP24" i="7"/>
  <c r="BP32" i="7"/>
  <c r="BP36" i="7"/>
  <c r="BP111" i="7"/>
  <c r="BP103" i="7"/>
  <c r="BP79" i="7"/>
  <c r="BP63" i="7"/>
  <c r="BP39" i="7"/>
  <c r="BP23" i="7"/>
  <c r="BP124" i="7"/>
  <c r="BP108" i="7"/>
  <c r="BP100" i="7"/>
  <c r="BP84" i="7"/>
  <c r="BP68" i="7"/>
  <c r="BP60" i="7"/>
  <c r="BP44" i="7"/>
  <c r="BP28" i="7"/>
  <c r="BP20" i="7"/>
  <c r="BP12" i="7"/>
  <c r="BP5" i="7"/>
  <c r="BP123" i="7"/>
  <c r="BP115" i="7"/>
  <c r="BP107" i="7"/>
  <c r="BP99" i="7"/>
  <c r="BP91" i="7"/>
  <c r="BP83" i="7"/>
  <c r="BP75" i="7"/>
  <c r="BP67" i="7"/>
  <c r="BP51" i="7"/>
  <c r="BP43" i="7"/>
  <c r="BP122" i="7"/>
  <c r="BP114" i="7"/>
  <c r="BP106" i="7"/>
  <c r="BP98" i="7"/>
  <c r="BP90" i="7"/>
  <c r="BP82" i="7"/>
  <c r="BP74" i="7"/>
  <c r="BP66" i="7"/>
  <c r="BP58" i="7"/>
  <c r="BP50" i="7"/>
  <c r="BP42" i="7"/>
  <c r="BP34" i="7"/>
  <c r="BP26" i="7"/>
  <c r="BP18" i="7"/>
  <c r="BP10" i="7"/>
  <c r="BQ37" i="7"/>
  <c r="BQ29" i="7"/>
  <c r="BQ21" i="7"/>
  <c r="BQ13" i="7"/>
  <c r="BQ5" i="7"/>
  <c r="BP2" i="7"/>
  <c r="BQ10" i="7"/>
  <c r="BM132" i="7"/>
  <c r="BB136" i="7"/>
  <c r="BB135" i="7"/>
  <c r="AX131" i="7"/>
  <c r="AX132" i="7"/>
  <c r="AW132" i="7"/>
  <c r="AW131" i="7"/>
  <c r="AZ127" i="7" s="1"/>
  <c r="BA127" i="7" s="1"/>
  <c r="AN127" i="7"/>
  <c r="AR127" i="7"/>
  <c r="AQ127" i="7"/>
  <c r="AE131" i="7"/>
  <c r="AH131" i="7"/>
  <c r="AI131" i="7"/>
  <c r="AJ131" i="7"/>
  <c r="AK131" i="7"/>
  <c r="AL131" i="7"/>
  <c r="AE132" i="7"/>
  <c r="AH132" i="7"/>
  <c r="AI132" i="7"/>
  <c r="AJ132" i="7"/>
  <c r="AK132" i="7"/>
  <c r="AL132" i="7"/>
  <c r="AD132" i="7"/>
  <c r="AD131" i="7"/>
  <c r="AO127" i="7"/>
  <c r="AP127" i="7" s="1"/>
  <c r="Y131" i="7"/>
  <c r="Y132" i="7"/>
  <c r="Z127" i="7"/>
  <c r="L127" i="7"/>
  <c r="O127" i="7" s="1"/>
  <c r="I127" i="7"/>
  <c r="N127" i="7" s="1"/>
  <c r="G131" i="7"/>
  <c r="H131" i="7"/>
  <c r="J131" i="7"/>
  <c r="K131" i="7"/>
  <c r="M131" i="7"/>
  <c r="Q131" i="7"/>
  <c r="G132" i="7"/>
  <c r="H132" i="7"/>
  <c r="J132" i="7"/>
  <c r="K132" i="7"/>
  <c r="M132" i="7"/>
  <c r="Q132" i="7"/>
  <c r="F131" i="7"/>
  <c r="F132" i="7"/>
  <c r="S127" i="7"/>
  <c r="AQ126" i="7"/>
  <c r="AQ125" i="7"/>
  <c r="AQ124" i="7"/>
  <c r="AQ123" i="7"/>
  <c r="AQ122" i="7"/>
  <c r="AQ121" i="7"/>
  <c r="AQ120" i="7"/>
  <c r="AQ119" i="7"/>
  <c r="AQ118" i="7"/>
  <c r="AQ117" i="7"/>
  <c r="AQ116" i="7"/>
  <c r="AQ115" i="7"/>
  <c r="AQ114" i="7"/>
  <c r="AQ113" i="7"/>
  <c r="AQ112" i="7"/>
  <c r="AQ111" i="7"/>
  <c r="AQ110" i="7"/>
  <c r="AQ109" i="7"/>
  <c r="AQ108" i="7"/>
  <c r="AQ107" i="7"/>
  <c r="AQ106" i="7"/>
  <c r="AQ105" i="7"/>
  <c r="AQ104" i="7"/>
  <c r="AQ103" i="7"/>
  <c r="AQ102" i="7"/>
  <c r="AQ101" i="7"/>
  <c r="AQ100" i="7"/>
  <c r="AQ99" i="7"/>
  <c r="AQ98" i="7"/>
  <c r="AQ97" i="7"/>
  <c r="AQ96" i="7"/>
  <c r="AQ95" i="7"/>
  <c r="AQ94" i="7"/>
  <c r="AQ93" i="7"/>
  <c r="AQ92" i="7"/>
  <c r="AQ91" i="7"/>
  <c r="AQ90" i="7"/>
  <c r="AQ89" i="7"/>
  <c r="AQ88" i="7"/>
  <c r="AQ87" i="7"/>
  <c r="AQ86" i="7"/>
  <c r="AQ85" i="7"/>
  <c r="AQ84" i="7"/>
  <c r="AQ83" i="7"/>
  <c r="AQ82" i="7"/>
  <c r="AQ81" i="7"/>
  <c r="AQ80" i="7"/>
  <c r="AQ79" i="7"/>
  <c r="AQ78" i="7"/>
  <c r="AQ77" i="7"/>
  <c r="AQ76" i="7"/>
  <c r="AQ75" i="7"/>
  <c r="AQ74" i="7"/>
  <c r="AQ73" i="7"/>
  <c r="AQ72" i="7"/>
  <c r="AQ71" i="7"/>
  <c r="AQ70" i="7"/>
  <c r="AQ69" i="7"/>
  <c r="AQ68" i="7"/>
  <c r="AQ67" i="7"/>
  <c r="AQ66" i="7"/>
  <c r="AQ65" i="7"/>
  <c r="AQ64" i="7"/>
  <c r="AQ63" i="7"/>
  <c r="AQ62" i="7"/>
  <c r="AQ61" i="7"/>
  <c r="AQ60" i="7"/>
  <c r="AQ59" i="7"/>
  <c r="AQ58" i="7"/>
  <c r="AQ57" i="7"/>
  <c r="AQ56" i="7"/>
  <c r="AQ55" i="7"/>
  <c r="AQ54" i="7"/>
  <c r="AQ53" i="7"/>
  <c r="AQ52" i="7"/>
  <c r="AQ51" i="7"/>
  <c r="AQ50" i="7"/>
  <c r="AQ49" i="7"/>
  <c r="AQ48" i="7"/>
  <c r="AQ47" i="7"/>
  <c r="AQ46" i="7"/>
  <c r="AQ45" i="7"/>
  <c r="AQ44" i="7"/>
  <c r="AQ43" i="7"/>
  <c r="AQ42" i="7"/>
  <c r="AQ41" i="7"/>
  <c r="AQ40" i="7"/>
  <c r="AQ39" i="7"/>
  <c r="AQ38" i="7"/>
  <c r="AQ37" i="7"/>
  <c r="AQ36" i="7"/>
  <c r="AQ35" i="7"/>
  <c r="AQ34" i="7"/>
  <c r="AQ33" i="7"/>
  <c r="AQ32" i="7"/>
  <c r="AQ31" i="7"/>
  <c r="AQ30" i="7"/>
  <c r="AQ29" i="7"/>
  <c r="AQ28" i="7"/>
  <c r="AQ27" i="7"/>
  <c r="AQ26" i="7"/>
  <c r="AQ25" i="7"/>
  <c r="AQ24" i="7"/>
  <c r="AQ23" i="7"/>
  <c r="AQ22" i="7"/>
  <c r="AQ21" i="7"/>
  <c r="AQ20" i="7"/>
  <c r="AQ19" i="7"/>
  <c r="AQ18" i="7"/>
  <c r="AQ17" i="7"/>
  <c r="AQ16" i="7"/>
  <c r="AQ15" i="7"/>
  <c r="AQ14" i="7"/>
  <c r="AQ13" i="7"/>
  <c r="AQ12" i="7"/>
  <c r="AQ11" i="7"/>
  <c r="AQ10" i="7"/>
  <c r="AQ9" i="7"/>
  <c r="AQ8" i="7"/>
  <c r="AQ7" i="7"/>
  <c r="AQ6" i="7"/>
  <c r="AQ5" i="7"/>
  <c r="AQ4" i="7"/>
  <c r="AQ3" i="7"/>
  <c r="AQ2" i="7"/>
  <c r="AR115" i="7"/>
  <c r="AR35" i="7"/>
  <c r="AF21" i="7"/>
  <c r="Z35" i="7"/>
  <c r="Z95" i="7"/>
  <c r="AR84" i="7"/>
  <c r="Z82" i="7"/>
  <c r="AR116" i="7"/>
  <c r="AR47" i="7"/>
  <c r="AO126" i="7"/>
  <c r="AO125" i="7"/>
  <c r="AO124" i="7"/>
  <c r="AO103" i="7"/>
  <c r="AO102" i="7"/>
  <c r="AO101" i="7"/>
  <c r="AO84" i="7"/>
  <c r="AO41" i="7"/>
  <c r="AO40" i="7"/>
  <c r="AO3" i="7"/>
  <c r="AO5" i="7"/>
  <c r="AO6" i="7"/>
  <c r="AO7" i="7"/>
  <c r="AO8" i="7"/>
  <c r="AO9" i="7"/>
  <c r="AO15" i="7"/>
  <c r="AO16" i="7"/>
  <c r="AO17" i="7"/>
  <c r="AO18" i="7"/>
  <c r="AO19" i="7"/>
  <c r="AO2" i="7"/>
  <c r="AZ125" i="7" l="1"/>
  <c r="BB4" i="7"/>
  <c r="BC4" i="7" s="1"/>
  <c r="BD4" i="7" s="1"/>
  <c r="BB138" i="7"/>
  <c r="BB38" i="7"/>
  <c r="BC38" i="7" s="1"/>
  <c r="BB88" i="7"/>
  <c r="BC88" i="7" s="1"/>
  <c r="BD88" i="7" s="1"/>
  <c r="BB46" i="7"/>
  <c r="BC46" i="7" s="1"/>
  <c r="BD46" i="7" s="1"/>
  <c r="BB120" i="7"/>
  <c r="BC120" i="7" s="1"/>
  <c r="BD120" i="7" s="1"/>
  <c r="BB112" i="7"/>
  <c r="BC112" i="7" s="1"/>
  <c r="BD112" i="7" s="1"/>
  <c r="BB96" i="7"/>
  <c r="BC96" i="7" s="1"/>
  <c r="BD96" i="7" s="1"/>
  <c r="BB8" i="7"/>
  <c r="BC8" i="7" s="1"/>
  <c r="BD8" i="7" s="1"/>
  <c r="BB27" i="7"/>
  <c r="BC27" i="7" s="1"/>
  <c r="BD27" i="7" s="1"/>
  <c r="BB19" i="7"/>
  <c r="BC19" i="7" s="1"/>
  <c r="BD19" i="7" s="1"/>
  <c r="BB45" i="7"/>
  <c r="BC45" i="7" s="1"/>
  <c r="BD45" i="7" s="1"/>
  <c r="BB37" i="7"/>
  <c r="BC37" i="7" s="1"/>
  <c r="BD37" i="7" s="1"/>
  <c r="BB127" i="7"/>
  <c r="BC127" i="7" s="1"/>
  <c r="BD127" i="7" s="1"/>
  <c r="BB119" i="7"/>
  <c r="BC119" i="7" s="1"/>
  <c r="BD119" i="7" s="1"/>
  <c r="BB111" i="7"/>
  <c r="BC111" i="7" s="1"/>
  <c r="BD111" i="7" s="1"/>
  <c r="BB103" i="7"/>
  <c r="BC103" i="7" s="1"/>
  <c r="BD103" i="7" s="1"/>
  <c r="BB95" i="7"/>
  <c r="BC95" i="7" s="1"/>
  <c r="BD95" i="7" s="1"/>
  <c r="BB87" i="7"/>
  <c r="BC87" i="7" s="1"/>
  <c r="BD87" i="7" s="1"/>
  <c r="BB79" i="7"/>
  <c r="BC79" i="7" s="1"/>
  <c r="BD79" i="7" s="1"/>
  <c r="BB71" i="7"/>
  <c r="BC71" i="7" s="1"/>
  <c r="BD71" i="7" s="1"/>
  <c r="BB63" i="7"/>
  <c r="BC63" i="7" s="1"/>
  <c r="BD63" i="7" s="1"/>
  <c r="BB55" i="7"/>
  <c r="BC55" i="7" s="1"/>
  <c r="BD55" i="7" s="1"/>
  <c r="BB56" i="7"/>
  <c r="BC56" i="7" s="1"/>
  <c r="BD56" i="7" s="1"/>
  <c r="BB2" i="7"/>
  <c r="BC2" i="7" s="1"/>
  <c r="BD2" i="7" s="1"/>
  <c r="BB7" i="7"/>
  <c r="BC7" i="7" s="1"/>
  <c r="BD7" i="7" s="1"/>
  <c r="BB26" i="7"/>
  <c r="BC26" i="7" s="1"/>
  <c r="BD26" i="7" s="1"/>
  <c r="BB18" i="7"/>
  <c r="BC18" i="7" s="1"/>
  <c r="BD18" i="7" s="1"/>
  <c r="BB44" i="7"/>
  <c r="BC44" i="7" s="1"/>
  <c r="BD44" i="7" s="1"/>
  <c r="BB36" i="7"/>
  <c r="BC36" i="7" s="1"/>
  <c r="BD36" i="7" s="1"/>
  <c r="BB126" i="7"/>
  <c r="BC126" i="7" s="1"/>
  <c r="BD126" i="7" s="1"/>
  <c r="BB118" i="7"/>
  <c r="BC118" i="7" s="1"/>
  <c r="BD118" i="7" s="1"/>
  <c r="BB110" i="7"/>
  <c r="BC110" i="7" s="1"/>
  <c r="BD110" i="7" s="1"/>
  <c r="BB102" i="7"/>
  <c r="BC102" i="7" s="1"/>
  <c r="BD102" i="7" s="1"/>
  <c r="BB94" i="7"/>
  <c r="BC94" i="7" s="1"/>
  <c r="BD94" i="7" s="1"/>
  <c r="BB86" i="7"/>
  <c r="BC86" i="7" s="1"/>
  <c r="BD86" i="7" s="1"/>
  <c r="BB78" i="7"/>
  <c r="BC78" i="7" s="1"/>
  <c r="BD78" i="7" s="1"/>
  <c r="BB70" i="7"/>
  <c r="BC70" i="7" s="1"/>
  <c r="BD70" i="7" s="1"/>
  <c r="BB62" i="7"/>
  <c r="BC62" i="7" s="1"/>
  <c r="BD62" i="7" s="1"/>
  <c r="BB54" i="7"/>
  <c r="BC54" i="7" s="1"/>
  <c r="BD54" i="7" s="1"/>
  <c r="BB72" i="7"/>
  <c r="BC72" i="7" s="1"/>
  <c r="BD72" i="7" s="1"/>
  <c r="BB14" i="7"/>
  <c r="BC14" i="7" s="1"/>
  <c r="BD14" i="7" s="1"/>
  <c r="BB6" i="7"/>
  <c r="BC6" i="7" s="1"/>
  <c r="BD6" i="7" s="1"/>
  <c r="BB25" i="7"/>
  <c r="BC25" i="7" s="1"/>
  <c r="BD25" i="7" s="1"/>
  <c r="BB17" i="7"/>
  <c r="BC17" i="7" s="1"/>
  <c r="BD17" i="7" s="1"/>
  <c r="BB43" i="7"/>
  <c r="BC43" i="7" s="1"/>
  <c r="BD43" i="7" s="1"/>
  <c r="BB35" i="7"/>
  <c r="BC35" i="7" s="1"/>
  <c r="BD35" i="7" s="1"/>
  <c r="BB125" i="7"/>
  <c r="BC125" i="7" s="1"/>
  <c r="BD125" i="7" s="1"/>
  <c r="BB117" i="7"/>
  <c r="BC117" i="7" s="1"/>
  <c r="BD117" i="7" s="1"/>
  <c r="BB109" i="7"/>
  <c r="BC109" i="7" s="1"/>
  <c r="BD109" i="7" s="1"/>
  <c r="BB101" i="7"/>
  <c r="BC101" i="7" s="1"/>
  <c r="BD101" i="7" s="1"/>
  <c r="BB93" i="7"/>
  <c r="BC93" i="7" s="1"/>
  <c r="BD93" i="7" s="1"/>
  <c r="BB85" i="7"/>
  <c r="BC85" i="7" s="1"/>
  <c r="BD85" i="7" s="1"/>
  <c r="BB77" i="7"/>
  <c r="BC77" i="7" s="1"/>
  <c r="BD77" i="7" s="1"/>
  <c r="BB69" i="7"/>
  <c r="BC69" i="7" s="1"/>
  <c r="BD69" i="7" s="1"/>
  <c r="BB61" i="7"/>
  <c r="BC61" i="7" s="1"/>
  <c r="BD61" i="7" s="1"/>
  <c r="BB53" i="7"/>
  <c r="BC53" i="7" s="1"/>
  <c r="BD53" i="7" s="1"/>
  <c r="BB28" i="7"/>
  <c r="BC28" i="7" s="1"/>
  <c r="BD28" i="7" s="1"/>
  <c r="BB64" i="7"/>
  <c r="BC64" i="7" s="1"/>
  <c r="BD64" i="7" s="1"/>
  <c r="BB13" i="7"/>
  <c r="BC13" i="7" s="1"/>
  <c r="BD13" i="7" s="1"/>
  <c r="BB5" i="7"/>
  <c r="BC5" i="7" s="1"/>
  <c r="BD5" i="7" s="1"/>
  <c r="BB24" i="7"/>
  <c r="BC24" i="7" s="1"/>
  <c r="BD24" i="7" s="1"/>
  <c r="BB16" i="7"/>
  <c r="BC16" i="7" s="1"/>
  <c r="BD16" i="7" s="1"/>
  <c r="BB42" i="7"/>
  <c r="BC42" i="7" s="1"/>
  <c r="BD42" i="7" s="1"/>
  <c r="BB34" i="7"/>
  <c r="BC34" i="7" s="1"/>
  <c r="BD34" i="7" s="1"/>
  <c r="BB124" i="7"/>
  <c r="BC124" i="7" s="1"/>
  <c r="BD124" i="7" s="1"/>
  <c r="BB116" i="7"/>
  <c r="BC116" i="7" s="1"/>
  <c r="BD116" i="7" s="1"/>
  <c r="BB108" i="7"/>
  <c r="BC108" i="7" s="1"/>
  <c r="BD108" i="7" s="1"/>
  <c r="BB100" i="7"/>
  <c r="BC100" i="7" s="1"/>
  <c r="BD100" i="7" s="1"/>
  <c r="BB92" i="7"/>
  <c r="BC92" i="7" s="1"/>
  <c r="BD92" i="7" s="1"/>
  <c r="BB84" i="7"/>
  <c r="BC84" i="7" s="1"/>
  <c r="BD84" i="7" s="1"/>
  <c r="BB76" i="7"/>
  <c r="BC76" i="7" s="1"/>
  <c r="BD76" i="7" s="1"/>
  <c r="BB68" i="7"/>
  <c r="BC68" i="7" s="1"/>
  <c r="BD68" i="7" s="1"/>
  <c r="BB60" i="7"/>
  <c r="BC60" i="7" s="1"/>
  <c r="BD60" i="7" s="1"/>
  <c r="BB52" i="7"/>
  <c r="BC52" i="7" s="1"/>
  <c r="BD52" i="7" s="1"/>
  <c r="BB9" i="7"/>
  <c r="BC9" i="7" s="1"/>
  <c r="BD9" i="7" s="1"/>
  <c r="BB30" i="7"/>
  <c r="BC30" i="7" s="1"/>
  <c r="BD30" i="7" s="1"/>
  <c r="BB80" i="7"/>
  <c r="BC80" i="7" s="1"/>
  <c r="BD80" i="7" s="1"/>
  <c r="BB12" i="7"/>
  <c r="BC12" i="7" s="1"/>
  <c r="BD12" i="7" s="1"/>
  <c r="BB23" i="7"/>
  <c r="BC23" i="7" s="1"/>
  <c r="BD23" i="7" s="1"/>
  <c r="BB15" i="7"/>
  <c r="BC15" i="7" s="1"/>
  <c r="BD15" i="7" s="1"/>
  <c r="BB41" i="7"/>
  <c r="BC41" i="7" s="1"/>
  <c r="BD41" i="7" s="1"/>
  <c r="BB33" i="7"/>
  <c r="BC33" i="7" s="1"/>
  <c r="BD33" i="7" s="1"/>
  <c r="BB123" i="7"/>
  <c r="BC123" i="7" s="1"/>
  <c r="BD123" i="7" s="1"/>
  <c r="BB115" i="7"/>
  <c r="BC115" i="7" s="1"/>
  <c r="BD115" i="7" s="1"/>
  <c r="BB107" i="7"/>
  <c r="BC107" i="7" s="1"/>
  <c r="BD107" i="7" s="1"/>
  <c r="BB99" i="7"/>
  <c r="BC99" i="7" s="1"/>
  <c r="BD99" i="7" s="1"/>
  <c r="BB91" i="7"/>
  <c r="BC91" i="7" s="1"/>
  <c r="BD91" i="7" s="1"/>
  <c r="BB83" i="7"/>
  <c r="BC83" i="7" s="1"/>
  <c r="BD83" i="7" s="1"/>
  <c r="BB75" i="7"/>
  <c r="BC75" i="7" s="1"/>
  <c r="BD75" i="7" s="1"/>
  <c r="BB67" i="7"/>
  <c r="BC67" i="7" s="1"/>
  <c r="BD67" i="7" s="1"/>
  <c r="BB59" i="7"/>
  <c r="BC59" i="7" s="1"/>
  <c r="BD59" i="7" s="1"/>
  <c r="BB51" i="7"/>
  <c r="BC51" i="7" s="1"/>
  <c r="BD51" i="7" s="1"/>
  <c r="BB104" i="7"/>
  <c r="BC104" i="7" s="1"/>
  <c r="BD104" i="7" s="1"/>
  <c r="BB11" i="7"/>
  <c r="BC11" i="7" s="1"/>
  <c r="BD11" i="7" s="1"/>
  <c r="BB3" i="7"/>
  <c r="BC3" i="7" s="1"/>
  <c r="BD3" i="7" s="1"/>
  <c r="BB22" i="7"/>
  <c r="BC22" i="7" s="1"/>
  <c r="BD22" i="7" s="1"/>
  <c r="BB48" i="7"/>
  <c r="BC48" i="7" s="1"/>
  <c r="BD48" i="7" s="1"/>
  <c r="BB40" i="7"/>
  <c r="BC40" i="7" s="1"/>
  <c r="BD40" i="7" s="1"/>
  <c r="BB32" i="7"/>
  <c r="BC32" i="7" s="1"/>
  <c r="BD32" i="7" s="1"/>
  <c r="BB122" i="7"/>
  <c r="BC122" i="7" s="1"/>
  <c r="BD122" i="7" s="1"/>
  <c r="BB114" i="7"/>
  <c r="BC114" i="7" s="1"/>
  <c r="BD114" i="7" s="1"/>
  <c r="BB106" i="7"/>
  <c r="BC106" i="7" s="1"/>
  <c r="BD106" i="7" s="1"/>
  <c r="BB98" i="7"/>
  <c r="BC98" i="7" s="1"/>
  <c r="BD98" i="7" s="1"/>
  <c r="BB90" i="7"/>
  <c r="BC90" i="7" s="1"/>
  <c r="BD90" i="7" s="1"/>
  <c r="BB82" i="7"/>
  <c r="BC82" i="7" s="1"/>
  <c r="BD82" i="7" s="1"/>
  <c r="BB74" i="7"/>
  <c r="BC74" i="7" s="1"/>
  <c r="BD74" i="7" s="1"/>
  <c r="BB66" i="7"/>
  <c r="BC66" i="7" s="1"/>
  <c r="BD66" i="7" s="1"/>
  <c r="BB58" i="7"/>
  <c r="BC58" i="7" s="1"/>
  <c r="BD58" i="7" s="1"/>
  <c r="BB50" i="7"/>
  <c r="BC50" i="7" s="1"/>
  <c r="BD50" i="7" s="1"/>
  <c r="BB20" i="7"/>
  <c r="BC20" i="7" s="1"/>
  <c r="BD20" i="7" s="1"/>
  <c r="BB10" i="7"/>
  <c r="BC10" i="7" s="1"/>
  <c r="BD10" i="7" s="1"/>
  <c r="BB29" i="7"/>
  <c r="BC29" i="7" s="1"/>
  <c r="BD29" i="7" s="1"/>
  <c r="BB21" i="7"/>
  <c r="BC21" i="7" s="1"/>
  <c r="BD21" i="7" s="1"/>
  <c r="BB47" i="7"/>
  <c r="BC47" i="7" s="1"/>
  <c r="BD47" i="7" s="1"/>
  <c r="BB39" i="7"/>
  <c r="BC39" i="7" s="1"/>
  <c r="BD39" i="7" s="1"/>
  <c r="BB31" i="7"/>
  <c r="BB121" i="7"/>
  <c r="BC121" i="7" s="1"/>
  <c r="BD121" i="7" s="1"/>
  <c r="BB113" i="7"/>
  <c r="BC113" i="7" s="1"/>
  <c r="BD113" i="7" s="1"/>
  <c r="BB105" i="7"/>
  <c r="BC105" i="7" s="1"/>
  <c r="BD105" i="7" s="1"/>
  <c r="BB97" i="7"/>
  <c r="BC97" i="7" s="1"/>
  <c r="BD97" i="7" s="1"/>
  <c r="BB89" i="7"/>
  <c r="BC89" i="7" s="1"/>
  <c r="BD89" i="7" s="1"/>
  <c r="BB81" i="7"/>
  <c r="BC81" i="7" s="1"/>
  <c r="BD81" i="7" s="1"/>
  <c r="BB73" i="7"/>
  <c r="BC73" i="7" s="1"/>
  <c r="BD73" i="7" s="1"/>
  <c r="BB65" i="7"/>
  <c r="BC65" i="7" s="1"/>
  <c r="BD65" i="7" s="1"/>
  <c r="BB57" i="7"/>
  <c r="BC57" i="7" s="1"/>
  <c r="BD57" i="7" s="1"/>
  <c r="BB49" i="7"/>
  <c r="BC49" i="7" s="1"/>
  <c r="BD49" i="7" s="1"/>
  <c r="AZ5" i="7"/>
  <c r="BA5" i="7" s="1"/>
  <c r="AZ2" i="7"/>
  <c r="BA2" i="7" s="1"/>
  <c r="AS127" i="7"/>
  <c r="AT127" i="7" s="1"/>
  <c r="P127" i="7"/>
  <c r="AS116" i="7"/>
  <c r="AS84" i="7"/>
  <c r="AS35" i="7"/>
  <c r="AS115" i="7"/>
  <c r="AS47" i="7"/>
  <c r="Z19" i="7"/>
  <c r="Z18" i="7"/>
  <c r="Z48" i="7"/>
  <c r="BC31" i="7" l="1"/>
  <c r="BD31" i="7" s="1"/>
  <c r="BB131" i="7"/>
  <c r="BB132" i="7"/>
  <c r="BD38" i="7"/>
  <c r="AZ3" i="7"/>
  <c r="BA3" i="7" s="1"/>
  <c r="BC131" i="7" l="1"/>
  <c r="BC132" i="7"/>
  <c r="BD131" i="7"/>
  <c r="BD132" i="7"/>
  <c r="AZ106" i="7"/>
  <c r="BA106" i="7" s="1"/>
  <c r="AZ121" i="7"/>
  <c r="BA121" i="7" s="1"/>
  <c r="AZ113" i="7"/>
  <c r="BA113" i="7" s="1"/>
  <c r="AZ105" i="7"/>
  <c r="BA105" i="7" s="1"/>
  <c r="AZ97" i="7"/>
  <c r="BA97" i="7" s="1"/>
  <c r="AZ89" i="7"/>
  <c r="BA89" i="7" s="1"/>
  <c r="AZ81" i="7"/>
  <c r="BA81" i="7" s="1"/>
  <c r="AZ73" i="7"/>
  <c r="BA73" i="7" s="1"/>
  <c r="AZ65" i="7"/>
  <c r="BA65" i="7" s="1"/>
  <c r="AZ57" i="7"/>
  <c r="BA57" i="7" s="1"/>
  <c r="AZ49" i="7"/>
  <c r="BA49" i="7" s="1"/>
  <c r="AZ41" i="7"/>
  <c r="BA41" i="7" s="1"/>
  <c r="AZ33" i="7"/>
  <c r="BA33" i="7" s="1"/>
  <c r="AZ25" i="7"/>
  <c r="BA25" i="7" s="1"/>
  <c r="AZ17" i="7"/>
  <c r="BA17" i="7" s="1"/>
  <c r="AZ9" i="7"/>
  <c r="BA9" i="7" s="1"/>
  <c r="AZ120" i="7"/>
  <c r="BA120" i="7" s="1"/>
  <c r="AZ112" i="7"/>
  <c r="BA112" i="7" s="1"/>
  <c r="AZ104" i="7"/>
  <c r="BA104" i="7" s="1"/>
  <c r="AZ96" i="7"/>
  <c r="BA96" i="7" s="1"/>
  <c r="AZ88" i="7"/>
  <c r="BA88" i="7" s="1"/>
  <c r="AZ80" i="7"/>
  <c r="BA80" i="7" s="1"/>
  <c r="AZ72" i="7"/>
  <c r="BA72" i="7" s="1"/>
  <c r="AZ64" i="7"/>
  <c r="BA64" i="7" s="1"/>
  <c r="AZ56" i="7"/>
  <c r="BA56" i="7" s="1"/>
  <c r="AZ48" i="7"/>
  <c r="BA48" i="7" s="1"/>
  <c r="AZ40" i="7"/>
  <c r="BA40" i="7" s="1"/>
  <c r="AZ32" i="7"/>
  <c r="BA32" i="7" s="1"/>
  <c r="AZ24" i="7"/>
  <c r="BA24" i="7" s="1"/>
  <c r="AZ16" i="7"/>
  <c r="BA16" i="7" s="1"/>
  <c r="AZ8" i="7"/>
  <c r="BA8" i="7" s="1"/>
  <c r="AZ118" i="7"/>
  <c r="BA118" i="7" s="1"/>
  <c r="AZ124" i="7"/>
  <c r="BA124" i="7" s="1"/>
  <c r="AZ122" i="7"/>
  <c r="BA122" i="7" s="1"/>
  <c r="AZ114" i="7"/>
  <c r="BA114" i="7" s="1"/>
  <c r="AZ98" i="7"/>
  <c r="BA98" i="7" s="1"/>
  <c r="AZ90" i="7"/>
  <c r="BA90" i="7" s="1"/>
  <c r="AZ82" i="7"/>
  <c r="BA82" i="7" s="1"/>
  <c r="AZ74" i="7"/>
  <c r="BA74" i="7" s="1"/>
  <c r="AZ66" i="7"/>
  <c r="BA66" i="7" s="1"/>
  <c r="AZ58" i="7"/>
  <c r="BA58" i="7" s="1"/>
  <c r="AZ50" i="7"/>
  <c r="BA50" i="7" s="1"/>
  <c r="AZ42" i="7"/>
  <c r="BA42" i="7" s="1"/>
  <c r="AZ34" i="7"/>
  <c r="BA34" i="7" s="1"/>
  <c r="AZ26" i="7"/>
  <c r="BA26" i="7" s="1"/>
  <c r="AZ18" i="7"/>
  <c r="BA18" i="7" s="1"/>
  <c r="AZ10" i="7"/>
  <c r="BA10" i="7" s="1"/>
  <c r="AZ119" i="7"/>
  <c r="BA119" i="7" s="1"/>
  <c r="AZ111" i="7"/>
  <c r="BA111" i="7" s="1"/>
  <c r="AZ103" i="7"/>
  <c r="BA103" i="7" s="1"/>
  <c r="AZ95" i="7"/>
  <c r="BA95" i="7" s="1"/>
  <c r="AZ87" i="7"/>
  <c r="BA87" i="7" s="1"/>
  <c r="AZ79" i="7"/>
  <c r="BA79" i="7" s="1"/>
  <c r="AZ71" i="7"/>
  <c r="BA71" i="7" s="1"/>
  <c r="AZ63" i="7"/>
  <c r="BA63" i="7" s="1"/>
  <c r="AZ55" i="7"/>
  <c r="BA55" i="7" s="1"/>
  <c r="AZ47" i="7"/>
  <c r="BA47" i="7" s="1"/>
  <c r="AZ39" i="7"/>
  <c r="BA39" i="7" s="1"/>
  <c r="AZ31" i="7"/>
  <c r="BA31" i="7" s="1"/>
  <c r="AZ23" i="7"/>
  <c r="BA23" i="7" s="1"/>
  <c r="AZ15" i="7"/>
  <c r="BA15" i="7" s="1"/>
  <c r="AZ7" i="7"/>
  <c r="BA7" i="7" s="1"/>
  <c r="AZ126" i="7"/>
  <c r="BA126" i="7" s="1"/>
  <c r="AZ110" i="7"/>
  <c r="BA110" i="7" s="1"/>
  <c r="AZ102" i="7"/>
  <c r="BA102" i="7" s="1"/>
  <c r="AZ94" i="7"/>
  <c r="BA94" i="7" s="1"/>
  <c r="AZ86" i="7"/>
  <c r="BA86" i="7" s="1"/>
  <c r="AZ78" i="7"/>
  <c r="BA78" i="7" s="1"/>
  <c r="AZ70" i="7"/>
  <c r="BA70" i="7" s="1"/>
  <c r="AZ62" i="7"/>
  <c r="BA62" i="7" s="1"/>
  <c r="AZ54" i="7"/>
  <c r="BA54" i="7" s="1"/>
  <c r="AZ46" i="7"/>
  <c r="BA46" i="7" s="1"/>
  <c r="AZ38" i="7"/>
  <c r="BA38" i="7" s="1"/>
  <c r="AZ30" i="7"/>
  <c r="BA30" i="7" s="1"/>
  <c r="AZ22" i="7"/>
  <c r="BA22" i="7" s="1"/>
  <c r="AZ14" i="7"/>
  <c r="BA14" i="7" s="1"/>
  <c r="AZ6" i="7"/>
  <c r="BA6" i="7" s="1"/>
  <c r="BA125" i="7"/>
  <c r="AZ117" i="7"/>
  <c r="BA117" i="7" s="1"/>
  <c r="AZ109" i="7"/>
  <c r="BA109" i="7" s="1"/>
  <c r="AZ101" i="7"/>
  <c r="BA101" i="7" s="1"/>
  <c r="AZ93" i="7"/>
  <c r="BA93" i="7" s="1"/>
  <c r="AZ85" i="7"/>
  <c r="BA85" i="7" s="1"/>
  <c r="AZ77" i="7"/>
  <c r="BA77" i="7" s="1"/>
  <c r="AZ69" i="7"/>
  <c r="BA69" i="7" s="1"/>
  <c r="AZ61" i="7"/>
  <c r="BA61" i="7" s="1"/>
  <c r="AZ53" i="7"/>
  <c r="BA53" i="7" s="1"/>
  <c r="AZ45" i="7"/>
  <c r="BA45" i="7" s="1"/>
  <c r="AZ37" i="7"/>
  <c r="BA37" i="7" s="1"/>
  <c r="AZ29" i="7"/>
  <c r="BA29" i="7" s="1"/>
  <c r="AZ21" i="7"/>
  <c r="BA21" i="7" s="1"/>
  <c r="AZ13" i="7"/>
  <c r="BA13" i="7" s="1"/>
  <c r="AZ116" i="7"/>
  <c r="BA116" i="7" s="1"/>
  <c r="AZ100" i="7"/>
  <c r="BA100" i="7" s="1"/>
  <c r="AZ84" i="7"/>
  <c r="BA84" i="7" s="1"/>
  <c r="AZ76" i="7"/>
  <c r="BA76" i="7" s="1"/>
  <c r="AZ68" i="7"/>
  <c r="BA68" i="7" s="1"/>
  <c r="AZ60" i="7"/>
  <c r="BA60" i="7" s="1"/>
  <c r="AZ52" i="7"/>
  <c r="BA52" i="7" s="1"/>
  <c r="AZ44" i="7"/>
  <c r="BA44" i="7" s="1"/>
  <c r="AZ36" i="7"/>
  <c r="BA36" i="7" s="1"/>
  <c r="AZ28" i="7"/>
  <c r="BA28" i="7" s="1"/>
  <c r="AZ20" i="7"/>
  <c r="BA20" i="7" s="1"/>
  <c r="AZ12" i="7"/>
  <c r="BA12" i="7" s="1"/>
  <c r="AZ4" i="7"/>
  <c r="BA4" i="7" s="1"/>
  <c r="AZ108" i="7"/>
  <c r="BA108" i="7" s="1"/>
  <c r="AZ92" i="7"/>
  <c r="BA92" i="7" s="1"/>
  <c r="AZ123" i="7"/>
  <c r="BA123" i="7" s="1"/>
  <c r="AZ115" i="7"/>
  <c r="BA115" i="7" s="1"/>
  <c r="AZ107" i="7"/>
  <c r="BA107" i="7" s="1"/>
  <c r="AZ99" i="7"/>
  <c r="BA99" i="7" s="1"/>
  <c r="AZ91" i="7"/>
  <c r="BA91" i="7" s="1"/>
  <c r="AZ83" i="7"/>
  <c r="BA83" i="7" s="1"/>
  <c r="AZ75" i="7"/>
  <c r="BA75" i="7" s="1"/>
  <c r="AZ67" i="7"/>
  <c r="BA67" i="7" s="1"/>
  <c r="AZ59" i="7"/>
  <c r="BA59" i="7" s="1"/>
  <c r="AZ51" i="7"/>
  <c r="BA51" i="7" s="1"/>
  <c r="AZ43" i="7"/>
  <c r="BA43" i="7" s="1"/>
  <c r="AZ35" i="7"/>
  <c r="BA35" i="7" s="1"/>
  <c r="AZ27" i="7"/>
  <c r="BA27" i="7" s="1"/>
  <c r="AZ19" i="7"/>
  <c r="BA19" i="7" s="1"/>
  <c r="AZ11" i="7"/>
  <c r="BA11" i="7" s="1"/>
  <c r="Z84" i="7"/>
  <c r="Z16" i="7"/>
  <c r="AP3" i="7"/>
  <c r="AP5" i="7"/>
  <c r="AP6" i="7"/>
  <c r="AP7" i="7"/>
  <c r="AP8" i="7"/>
  <c r="AP9" i="7"/>
  <c r="AP15" i="7"/>
  <c r="AP16" i="7"/>
  <c r="AP17" i="7"/>
  <c r="AP18" i="7"/>
  <c r="AP19" i="7"/>
  <c r="AP40" i="7"/>
  <c r="AP41" i="7"/>
  <c r="AP84" i="7"/>
  <c r="AT84" i="7" s="1"/>
  <c r="AP101" i="7"/>
  <c r="AP102" i="7"/>
  <c r="AP103" i="7"/>
  <c r="AP124" i="7"/>
  <c r="AP125" i="7"/>
  <c r="AP126" i="7"/>
  <c r="AN3" i="7"/>
  <c r="AN5" i="7"/>
  <c r="AN6" i="7"/>
  <c r="AN7" i="7"/>
  <c r="AN8" i="7"/>
  <c r="AN9" i="7"/>
  <c r="AN15" i="7"/>
  <c r="AN16" i="7"/>
  <c r="AN17" i="7"/>
  <c r="AN18" i="7"/>
  <c r="AN19" i="7"/>
  <c r="AN40" i="7"/>
  <c r="AN41" i="7"/>
  <c r="AN84" i="7"/>
  <c r="AN101" i="7"/>
  <c r="AN102" i="7"/>
  <c r="AN103" i="7"/>
  <c r="AN124" i="7"/>
  <c r="AN125" i="7"/>
  <c r="AN126" i="7"/>
  <c r="AN2" i="7"/>
  <c r="AR3" i="7"/>
  <c r="AS3" i="7" s="1"/>
  <c r="AR4" i="7"/>
  <c r="AS4" i="7" s="1"/>
  <c r="AR5" i="7"/>
  <c r="AS5" i="7" s="1"/>
  <c r="AR6" i="7"/>
  <c r="AS6" i="7" s="1"/>
  <c r="AR7" i="7"/>
  <c r="AS7" i="7" s="1"/>
  <c r="AR8" i="7"/>
  <c r="AS8" i="7" s="1"/>
  <c r="AR9" i="7"/>
  <c r="AS9" i="7" s="1"/>
  <c r="AR10" i="7"/>
  <c r="AS10" i="7" s="1"/>
  <c r="AR11" i="7"/>
  <c r="AS11" i="7" s="1"/>
  <c r="AR12" i="7"/>
  <c r="AS12" i="7" s="1"/>
  <c r="AR13" i="7"/>
  <c r="AS13" i="7" s="1"/>
  <c r="AR14" i="7"/>
  <c r="AS14" i="7" s="1"/>
  <c r="AR15" i="7"/>
  <c r="AS15" i="7" s="1"/>
  <c r="AR16" i="7"/>
  <c r="AS16" i="7" s="1"/>
  <c r="AR17" i="7"/>
  <c r="AS17" i="7" s="1"/>
  <c r="AR18" i="7"/>
  <c r="AS18" i="7" s="1"/>
  <c r="AR19" i="7"/>
  <c r="AS19" i="7" s="1"/>
  <c r="AR20" i="7"/>
  <c r="AS20" i="7" s="1"/>
  <c r="AR21" i="7"/>
  <c r="AS21" i="7" s="1"/>
  <c r="AR22" i="7"/>
  <c r="AS22" i="7" s="1"/>
  <c r="AR23" i="7"/>
  <c r="AS23" i="7" s="1"/>
  <c r="AR24" i="7"/>
  <c r="AS24" i="7" s="1"/>
  <c r="AR25" i="7"/>
  <c r="AS25" i="7" s="1"/>
  <c r="AR26" i="7"/>
  <c r="AS26" i="7" s="1"/>
  <c r="AR27" i="7"/>
  <c r="AS27" i="7" s="1"/>
  <c r="AR28" i="7"/>
  <c r="AS28" i="7" s="1"/>
  <c r="AR29" i="7"/>
  <c r="AS29" i="7" s="1"/>
  <c r="AR30" i="7"/>
  <c r="AS30" i="7" s="1"/>
  <c r="AR31" i="7"/>
  <c r="AS31" i="7" s="1"/>
  <c r="AR32" i="7"/>
  <c r="AS32" i="7" s="1"/>
  <c r="AR33" i="7"/>
  <c r="AS33" i="7" s="1"/>
  <c r="AR34" i="7"/>
  <c r="AS34" i="7" s="1"/>
  <c r="AR36" i="7"/>
  <c r="AS36" i="7" s="1"/>
  <c r="AR37" i="7"/>
  <c r="AS37" i="7" s="1"/>
  <c r="AR38" i="7"/>
  <c r="AS38" i="7" s="1"/>
  <c r="AR39" i="7"/>
  <c r="AS39" i="7" s="1"/>
  <c r="AR40" i="7"/>
  <c r="AS40" i="7" s="1"/>
  <c r="AR41" i="7"/>
  <c r="AS41" i="7" s="1"/>
  <c r="AR42" i="7"/>
  <c r="AS42" i="7" s="1"/>
  <c r="AR43" i="7"/>
  <c r="AS43" i="7" s="1"/>
  <c r="AR44" i="7"/>
  <c r="AS44" i="7" s="1"/>
  <c r="AR45" i="7"/>
  <c r="AS45" i="7" s="1"/>
  <c r="AR46" i="7"/>
  <c r="AS46" i="7" s="1"/>
  <c r="AR48" i="7"/>
  <c r="AS48" i="7" s="1"/>
  <c r="AR49" i="7"/>
  <c r="AS49" i="7" s="1"/>
  <c r="AR50" i="7"/>
  <c r="AS50" i="7" s="1"/>
  <c r="AR51" i="7"/>
  <c r="AS51" i="7" s="1"/>
  <c r="AR52" i="7"/>
  <c r="AS52" i="7" s="1"/>
  <c r="AR53" i="7"/>
  <c r="AS53" i="7" s="1"/>
  <c r="AR54" i="7"/>
  <c r="AS54" i="7" s="1"/>
  <c r="AR55" i="7"/>
  <c r="AS55" i="7" s="1"/>
  <c r="AR56" i="7"/>
  <c r="AS56" i="7" s="1"/>
  <c r="AR57" i="7"/>
  <c r="AS57" i="7" s="1"/>
  <c r="AR58" i="7"/>
  <c r="AS58" i="7" s="1"/>
  <c r="AR59" i="7"/>
  <c r="AS59" i="7" s="1"/>
  <c r="AR60" i="7"/>
  <c r="AS60" i="7" s="1"/>
  <c r="AR61" i="7"/>
  <c r="AS61" i="7" s="1"/>
  <c r="AR62" i="7"/>
  <c r="AS62" i="7" s="1"/>
  <c r="AR63" i="7"/>
  <c r="AS63" i="7" s="1"/>
  <c r="AR64" i="7"/>
  <c r="AS64" i="7" s="1"/>
  <c r="AR65" i="7"/>
  <c r="AS65" i="7" s="1"/>
  <c r="AR66" i="7"/>
  <c r="AS66" i="7" s="1"/>
  <c r="AR67" i="7"/>
  <c r="AS67" i="7" s="1"/>
  <c r="AR68" i="7"/>
  <c r="AS68" i="7" s="1"/>
  <c r="AR69" i="7"/>
  <c r="AS69" i="7" s="1"/>
  <c r="AR70" i="7"/>
  <c r="AS70" i="7" s="1"/>
  <c r="AR71" i="7"/>
  <c r="AS71" i="7" s="1"/>
  <c r="AR72" i="7"/>
  <c r="AS72" i="7" s="1"/>
  <c r="AR73" i="7"/>
  <c r="AS73" i="7" s="1"/>
  <c r="AR74" i="7"/>
  <c r="AS74" i="7" s="1"/>
  <c r="AR75" i="7"/>
  <c r="AS75" i="7" s="1"/>
  <c r="AR76" i="7"/>
  <c r="AS76" i="7" s="1"/>
  <c r="AR77" i="7"/>
  <c r="AS77" i="7" s="1"/>
  <c r="AR78" i="7"/>
  <c r="AS78" i="7" s="1"/>
  <c r="AR79" i="7"/>
  <c r="AS79" i="7" s="1"/>
  <c r="AR80" i="7"/>
  <c r="AS80" i="7" s="1"/>
  <c r="AR81" i="7"/>
  <c r="AS81" i="7" s="1"/>
  <c r="AR82" i="7"/>
  <c r="AS82" i="7" s="1"/>
  <c r="AR83" i="7"/>
  <c r="AS83" i="7" s="1"/>
  <c r="AR85" i="7"/>
  <c r="AS85" i="7" s="1"/>
  <c r="AR86" i="7"/>
  <c r="AS86" i="7" s="1"/>
  <c r="AR87" i="7"/>
  <c r="AS87" i="7" s="1"/>
  <c r="AR88" i="7"/>
  <c r="AS88" i="7" s="1"/>
  <c r="AR89" i="7"/>
  <c r="AS89" i="7" s="1"/>
  <c r="AR90" i="7"/>
  <c r="AS90" i="7" s="1"/>
  <c r="AR91" i="7"/>
  <c r="AS91" i="7" s="1"/>
  <c r="AR92" i="7"/>
  <c r="AS92" i="7" s="1"/>
  <c r="AR93" i="7"/>
  <c r="AS93" i="7" s="1"/>
  <c r="AR94" i="7"/>
  <c r="AS94" i="7" s="1"/>
  <c r="AR95" i="7"/>
  <c r="AS95" i="7" s="1"/>
  <c r="AR96" i="7"/>
  <c r="AS96" i="7" s="1"/>
  <c r="AR97" i="7"/>
  <c r="AS97" i="7" s="1"/>
  <c r="AR98" i="7"/>
  <c r="AS98" i="7" s="1"/>
  <c r="AR99" i="7"/>
  <c r="AS99" i="7" s="1"/>
  <c r="AR100" i="7"/>
  <c r="AS100" i="7" s="1"/>
  <c r="AR101" i="7"/>
  <c r="AS101" i="7" s="1"/>
  <c r="AR102" i="7"/>
  <c r="AS102" i="7" s="1"/>
  <c r="AR103" i="7"/>
  <c r="AS103" i="7" s="1"/>
  <c r="AR104" i="7"/>
  <c r="AS104" i="7" s="1"/>
  <c r="AR105" i="7"/>
  <c r="AS105" i="7" s="1"/>
  <c r="AR106" i="7"/>
  <c r="AS106" i="7" s="1"/>
  <c r="AR107" i="7"/>
  <c r="AS107" i="7" s="1"/>
  <c r="AR108" i="7"/>
  <c r="AS108" i="7" s="1"/>
  <c r="AR109" i="7"/>
  <c r="AS109" i="7" s="1"/>
  <c r="AR110" i="7"/>
  <c r="AS110" i="7" s="1"/>
  <c r="AR111" i="7"/>
  <c r="AS111" i="7" s="1"/>
  <c r="AR112" i="7"/>
  <c r="AS112" i="7" s="1"/>
  <c r="AR113" i="7"/>
  <c r="AS113" i="7" s="1"/>
  <c r="AR114" i="7"/>
  <c r="AS114" i="7" s="1"/>
  <c r="AR117" i="7"/>
  <c r="AS117" i="7" s="1"/>
  <c r="AR118" i="7"/>
  <c r="AS118" i="7" s="1"/>
  <c r="AR119" i="7"/>
  <c r="AS119" i="7" s="1"/>
  <c r="AR120" i="7"/>
  <c r="AS120" i="7" s="1"/>
  <c r="AR121" i="7"/>
  <c r="AS121" i="7" s="1"/>
  <c r="AR122" i="7"/>
  <c r="AS122" i="7" s="1"/>
  <c r="AR123" i="7"/>
  <c r="AS123" i="7" s="1"/>
  <c r="AR124" i="7"/>
  <c r="AS124" i="7" s="1"/>
  <c r="AR125" i="7"/>
  <c r="AS125" i="7" s="1"/>
  <c r="AR126" i="7"/>
  <c r="AS126" i="7" s="1"/>
  <c r="AR2" i="7"/>
  <c r="AS2" i="7" s="1"/>
  <c r="AF4" i="7"/>
  <c r="AF10" i="7"/>
  <c r="AF11" i="7"/>
  <c r="AF12" i="7"/>
  <c r="AF13" i="7"/>
  <c r="AF14" i="7"/>
  <c r="AF20" i="7"/>
  <c r="AO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F35" i="7"/>
  <c r="AF36" i="7"/>
  <c r="AF37" i="7"/>
  <c r="AF38" i="7"/>
  <c r="AF39" i="7"/>
  <c r="AF42" i="7"/>
  <c r="AF43" i="7"/>
  <c r="AF44" i="7"/>
  <c r="AF45" i="7"/>
  <c r="AF46" i="7"/>
  <c r="AF47" i="7"/>
  <c r="AF48" i="7"/>
  <c r="AF49" i="7"/>
  <c r="AF50" i="7"/>
  <c r="AF51" i="7"/>
  <c r="AF52" i="7"/>
  <c r="AF53" i="7"/>
  <c r="AF54" i="7"/>
  <c r="AF55" i="7"/>
  <c r="AF56" i="7"/>
  <c r="AF57" i="7"/>
  <c r="AF58" i="7"/>
  <c r="AF59" i="7"/>
  <c r="AF60" i="7"/>
  <c r="AF61" i="7"/>
  <c r="AF62" i="7"/>
  <c r="AF63" i="7"/>
  <c r="AF64" i="7"/>
  <c r="AF65" i="7"/>
  <c r="AF66" i="7"/>
  <c r="AF67" i="7"/>
  <c r="AF68" i="7"/>
  <c r="AF69" i="7"/>
  <c r="AF70" i="7"/>
  <c r="AF71" i="7"/>
  <c r="AF72" i="7"/>
  <c r="AF73" i="7"/>
  <c r="AF74" i="7"/>
  <c r="AF75" i="7"/>
  <c r="AF76" i="7"/>
  <c r="AF77" i="7"/>
  <c r="AF78" i="7"/>
  <c r="AF79" i="7"/>
  <c r="AF80" i="7"/>
  <c r="AF81" i="7"/>
  <c r="AF82" i="7"/>
  <c r="AF83" i="7"/>
  <c r="AF85" i="7"/>
  <c r="AF86" i="7"/>
  <c r="AF87" i="7"/>
  <c r="AF88" i="7"/>
  <c r="AF89" i="7"/>
  <c r="AF90" i="7"/>
  <c r="AF91" i="7"/>
  <c r="AF92" i="7"/>
  <c r="AF93" i="7"/>
  <c r="AF94" i="7"/>
  <c r="AF95" i="7"/>
  <c r="AF96" i="7"/>
  <c r="AF97" i="7"/>
  <c r="AF98" i="7"/>
  <c r="AF99" i="7"/>
  <c r="AF100" i="7"/>
  <c r="AF104" i="7"/>
  <c r="AF105" i="7"/>
  <c r="AF106" i="7"/>
  <c r="AF107" i="7"/>
  <c r="AF108" i="7"/>
  <c r="AF109" i="7"/>
  <c r="AF110" i="7"/>
  <c r="AF111" i="7"/>
  <c r="AF112" i="7"/>
  <c r="AF113" i="7"/>
  <c r="AF114" i="7"/>
  <c r="AF115" i="7"/>
  <c r="AF116" i="7"/>
  <c r="AF117" i="7"/>
  <c r="AF118" i="7"/>
  <c r="AF119" i="7"/>
  <c r="AF120" i="7"/>
  <c r="AF121" i="7"/>
  <c r="AF122" i="7"/>
  <c r="AF123" i="7"/>
  <c r="AG63" i="7" l="1"/>
  <c r="AO122" i="7"/>
  <c r="AO46" i="7"/>
  <c r="AO123" i="7"/>
  <c r="AO115" i="7"/>
  <c r="AP115" i="7" s="1"/>
  <c r="AT115" i="7" s="1"/>
  <c r="AO107" i="7"/>
  <c r="AP107" i="7" s="1"/>
  <c r="AT107" i="7" s="1"/>
  <c r="AO96" i="7"/>
  <c r="AP96" i="7" s="1"/>
  <c r="AT96" i="7" s="1"/>
  <c r="AO88" i="7"/>
  <c r="AP88" i="7" s="1"/>
  <c r="AT88" i="7" s="1"/>
  <c r="AO79" i="7"/>
  <c r="AP79" i="7" s="1"/>
  <c r="AT79" i="7" s="1"/>
  <c r="AO71" i="7"/>
  <c r="AP71" i="7" s="1"/>
  <c r="AT71" i="7" s="1"/>
  <c r="AO55" i="7"/>
  <c r="AO47" i="7"/>
  <c r="AO37" i="7"/>
  <c r="AP37" i="7" s="1"/>
  <c r="AT37" i="7" s="1"/>
  <c r="AO29" i="7"/>
  <c r="AP29" i="7" s="1"/>
  <c r="AT29" i="7" s="1"/>
  <c r="AO78" i="7"/>
  <c r="AP78" i="7" s="1"/>
  <c r="AT78" i="7" s="1"/>
  <c r="AO20" i="7"/>
  <c r="AP20" i="7" s="1"/>
  <c r="AT20" i="7" s="1"/>
  <c r="AO121" i="7"/>
  <c r="AP121" i="7" s="1"/>
  <c r="AT121" i="7" s="1"/>
  <c r="AO113" i="7"/>
  <c r="AP113" i="7" s="1"/>
  <c r="AT113" i="7" s="1"/>
  <c r="AO105" i="7"/>
  <c r="AP105" i="7" s="1"/>
  <c r="AT105" i="7" s="1"/>
  <c r="AO94" i="7"/>
  <c r="AP94" i="7" s="1"/>
  <c r="AT94" i="7" s="1"/>
  <c r="AO86" i="7"/>
  <c r="AP86" i="7" s="1"/>
  <c r="AT86" i="7" s="1"/>
  <c r="AO77" i="7"/>
  <c r="AP77" i="7" s="1"/>
  <c r="AT77" i="7" s="1"/>
  <c r="AO61" i="7"/>
  <c r="AP61" i="7" s="1"/>
  <c r="AT61" i="7" s="1"/>
  <c r="AO53" i="7"/>
  <c r="AP53" i="7" s="1"/>
  <c r="AT53" i="7" s="1"/>
  <c r="AO45" i="7"/>
  <c r="AP45" i="7" s="1"/>
  <c r="AT45" i="7" s="1"/>
  <c r="AO35" i="7"/>
  <c r="AP35" i="7" s="1"/>
  <c r="AT35" i="7" s="1"/>
  <c r="AO27" i="7"/>
  <c r="AP27" i="7" s="1"/>
  <c r="AT27" i="7" s="1"/>
  <c r="AO14" i="7"/>
  <c r="AP14" i="7" s="1"/>
  <c r="AT14" i="7" s="1"/>
  <c r="AO70" i="7"/>
  <c r="AP70" i="7" s="1"/>
  <c r="AT70" i="7" s="1"/>
  <c r="AO28" i="7"/>
  <c r="AO120" i="7"/>
  <c r="AP120" i="7" s="1"/>
  <c r="AT120" i="7" s="1"/>
  <c r="AO112" i="7"/>
  <c r="AP112" i="7" s="1"/>
  <c r="AT112" i="7" s="1"/>
  <c r="AO104" i="7"/>
  <c r="AP104" i="7" s="1"/>
  <c r="AT104" i="7" s="1"/>
  <c r="AO93" i="7"/>
  <c r="AO85" i="7"/>
  <c r="AO76" i="7"/>
  <c r="AP76" i="7" s="1"/>
  <c r="AT76" i="7" s="1"/>
  <c r="AO60" i="7"/>
  <c r="AO52" i="7"/>
  <c r="AP52" i="7" s="1"/>
  <c r="AT52" i="7" s="1"/>
  <c r="AO44" i="7"/>
  <c r="AP44" i="7" s="1"/>
  <c r="AT44" i="7" s="1"/>
  <c r="AO34" i="7"/>
  <c r="AP34" i="7" s="1"/>
  <c r="AT34" i="7" s="1"/>
  <c r="AO26" i="7"/>
  <c r="AP26" i="7" s="1"/>
  <c r="AT26" i="7" s="1"/>
  <c r="AO13" i="7"/>
  <c r="AO114" i="7"/>
  <c r="AP114" i="7" s="1"/>
  <c r="AT114" i="7" s="1"/>
  <c r="AO62" i="7"/>
  <c r="AP62" i="7" s="1"/>
  <c r="AT62" i="7" s="1"/>
  <c r="AO119" i="7"/>
  <c r="AP119" i="7" s="1"/>
  <c r="AT119" i="7" s="1"/>
  <c r="AO111" i="7"/>
  <c r="AP111" i="7" s="1"/>
  <c r="AT111" i="7" s="1"/>
  <c r="AO100" i="7"/>
  <c r="AP100" i="7" s="1"/>
  <c r="AT100" i="7" s="1"/>
  <c r="AO92" i="7"/>
  <c r="AP92" i="7" s="1"/>
  <c r="AT92" i="7" s="1"/>
  <c r="AO83" i="7"/>
  <c r="AP83" i="7" s="1"/>
  <c r="AT83" i="7" s="1"/>
  <c r="AO75" i="7"/>
  <c r="AP75" i="7" s="1"/>
  <c r="AT75" i="7" s="1"/>
  <c r="AO67" i="7"/>
  <c r="AP67" i="7" s="1"/>
  <c r="AT67" i="7" s="1"/>
  <c r="AO59" i="7"/>
  <c r="AP59" i="7" s="1"/>
  <c r="AT59" i="7" s="1"/>
  <c r="AO51" i="7"/>
  <c r="AO43" i="7"/>
  <c r="AP43" i="7" s="1"/>
  <c r="AT43" i="7" s="1"/>
  <c r="AO33" i="7"/>
  <c r="AP33" i="7" s="1"/>
  <c r="AT33" i="7" s="1"/>
  <c r="AO25" i="7"/>
  <c r="AP25" i="7" s="1"/>
  <c r="AT25" i="7" s="1"/>
  <c r="AO12" i="7"/>
  <c r="AP12" i="7" s="1"/>
  <c r="AT12" i="7" s="1"/>
  <c r="AO87" i="7"/>
  <c r="AP87" i="7" s="1"/>
  <c r="AT87" i="7" s="1"/>
  <c r="AO36" i="7"/>
  <c r="AP36" i="7" s="1"/>
  <c r="AT36" i="7" s="1"/>
  <c r="AO118" i="7"/>
  <c r="AP118" i="7" s="1"/>
  <c r="AT118" i="7" s="1"/>
  <c r="AO110" i="7"/>
  <c r="AP110" i="7" s="1"/>
  <c r="AT110" i="7" s="1"/>
  <c r="AO99" i="7"/>
  <c r="AP99" i="7" s="1"/>
  <c r="AT99" i="7" s="1"/>
  <c r="AO91" i="7"/>
  <c r="AP91" i="7" s="1"/>
  <c r="AT91" i="7" s="1"/>
  <c r="AO82" i="7"/>
  <c r="AP82" i="7" s="1"/>
  <c r="AT82" i="7" s="1"/>
  <c r="AO74" i="7"/>
  <c r="AP74" i="7" s="1"/>
  <c r="AT74" i="7" s="1"/>
  <c r="AO66" i="7"/>
  <c r="AP66" i="7" s="1"/>
  <c r="AT66" i="7" s="1"/>
  <c r="AO58" i="7"/>
  <c r="AP58" i="7" s="1"/>
  <c r="AT58" i="7" s="1"/>
  <c r="AO50" i="7"/>
  <c r="AP50" i="7" s="1"/>
  <c r="AT50" i="7" s="1"/>
  <c r="AO42" i="7"/>
  <c r="AP42" i="7" s="1"/>
  <c r="AT42" i="7" s="1"/>
  <c r="AO32" i="7"/>
  <c r="AP32" i="7" s="1"/>
  <c r="AT32" i="7" s="1"/>
  <c r="AO24" i="7"/>
  <c r="AP24" i="7" s="1"/>
  <c r="AT24" i="7" s="1"/>
  <c r="AO95" i="7"/>
  <c r="AP95" i="7" s="1"/>
  <c r="AT95" i="7" s="1"/>
  <c r="AO117" i="7"/>
  <c r="AP117" i="7" s="1"/>
  <c r="AT117" i="7" s="1"/>
  <c r="AO109" i="7"/>
  <c r="AP109" i="7" s="1"/>
  <c r="AT109" i="7" s="1"/>
  <c r="AO98" i="7"/>
  <c r="AP98" i="7" s="1"/>
  <c r="AT98" i="7" s="1"/>
  <c r="AO90" i="7"/>
  <c r="AO81" i="7"/>
  <c r="AP81" i="7" s="1"/>
  <c r="AT81" i="7" s="1"/>
  <c r="AO73" i="7"/>
  <c r="AP73" i="7" s="1"/>
  <c r="AT73" i="7" s="1"/>
  <c r="AO65" i="7"/>
  <c r="AP65" i="7" s="1"/>
  <c r="AT65" i="7" s="1"/>
  <c r="AO57" i="7"/>
  <c r="AP57" i="7" s="1"/>
  <c r="AT57" i="7" s="1"/>
  <c r="AO49" i="7"/>
  <c r="AP49" i="7" s="1"/>
  <c r="AT49" i="7" s="1"/>
  <c r="AO39" i="7"/>
  <c r="AP39" i="7" s="1"/>
  <c r="AT39" i="7" s="1"/>
  <c r="AO23" i="7"/>
  <c r="AP23" i="7" s="1"/>
  <c r="AT23" i="7" s="1"/>
  <c r="AO10" i="7"/>
  <c r="AO106" i="7"/>
  <c r="AP106" i="7" s="1"/>
  <c r="AT106" i="7" s="1"/>
  <c r="AO54" i="7"/>
  <c r="AP54" i="7" s="1"/>
  <c r="AT54" i="7" s="1"/>
  <c r="AO116" i="7"/>
  <c r="AP116" i="7" s="1"/>
  <c r="AT116" i="7" s="1"/>
  <c r="AO108" i="7"/>
  <c r="AP108" i="7" s="1"/>
  <c r="AT108" i="7" s="1"/>
  <c r="AO97" i="7"/>
  <c r="AP97" i="7" s="1"/>
  <c r="AT97" i="7" s="1"/>
  <c r="AO89" i="7"/>
  <c r="AP89" i="7" s="1"/>
  <c r="AT89" i="7" s="1"/>
  <c r="AO80" i="7"/>
  <c r="AO72" i="7"/>
  <c r="AP72" i="7" s="1"/>
  <c r="AT72" i="7" s="1"/>
  <c r="AO64" i="7"/>
  <c r="AP64" i="7" s="1"/>
  <c r="AT64" i="7" s="1"/>
  <c r="AO56" i="7"/>
  <c r="AP56" i="7" s="1"/>
  <c r="AT56" i="7" s="1"/>
  <c r="AO48" i="7"/>
  <c r="AP48" i="7" s="1"/>
  <c r="AT48" i="7" s="1"/>
  <c r="AO38" i="7"/>
  <c r="AP38" i="7" s="1"/>
  <c r="AT38" i="7" s="1"/>
  <c r="AO30" i="7"/>
  <c r="AP30" i="7" s="1"/>
  <c r="AT30" i="7" s="1"/>
  <c r="AO22" i="7"/>
  <c r="AP22" i="7" s="1"/>
  <c r="AT22" i="7" s="1"/>
  <c r="AO4" i="7"/>
  <c r="AO11" i="7"/>
  <c r="AP11" i="7" s="1"/>
  <c r="AT11" i="7" s="1"/>
  <c r="AN11" i="7"/>
  <c r="AZ132" i="7"/>
  <c r="AZ131" i="7"/>
  <c r="AO31" i="7"/>
  <c r="AP31" i="7" s="1"/>
  <c r="AT31" i="7" s="1"/>
  <c r="AF132" i="7"/>
  <c r="AF131" i="7"/>
  <c r="AG88" i="7" s="1"/>
  <c r="AT102" i="7"/>
  <c r="AT16" i="7"/>
  <c r="AT101" i="7"/>
  <c r="AT15" i="7"/>
  <c r="AT9" i="7"/>
  <c r="AT41" i="7"/>
  <c r="AT8" i="7"/>
  <c r="AT126" i="7"/>
  <c r="AT40" i="7"/>
  <c r="AT7" i="7"/>
  <c r="AT125" i="7"/>
  <c r="AT19" i="7"/>
  <c r="AT6" i="7"/>
  <c r="AT124" i="7"/>
  <c r="AT18" i="7"/>
  <c r="AT5" i="7"/>
  <c r="AT103" i="7"/>
  <c r="AT17" i="7"/>
  <c r="AT3" i="7"/>
  <c r="AO69" i="7"/>
  <c r="AP69" i="7" s="1"/>
  <c r="AT69" i="7" s="1"/>
  <c r="AN69" i="7"/>
  <c r="AO68" i="7"/>
  <c r="AP68" i="7" s="1"/>
  <c r="AT68" i="7" s="1"/>
  <c r="AN68" i="7"/>
  <c r="AO63" i="7"/>
  <c r="AP63" i="7" s="1"/>
  <c r="AT63" i="7" s="1"/>
  <c r="AN63" i="7"/>
  <c r="AN116" i="7"/>
  <c r="AN64" i="7"/>
  <c r="AN4" i="7"/>
  <c r="AP4" i="7"/>
  <c r="AT4" i="7" s="1"/>
  <c r="AN123" i="7"/>
  <c r="AP123" i="7"/>
  <c r="AT123" i="7" s="1"/>
  <c r="AN88" i="7"/>
  <c r="AN79" i="7"/>
  <c r="AN71" i="7"/>
  <c r="AN47" i="7"/>
  <c r="AP47" i="7"/>
  <c r="AT47" i="7" s="1"/>
  <c r="AN29" i="7"/>
  <c r="AN113" i="7"/>
  <c r="AN45" i="7"/>
  <c r="AN35" i="7"/>
  <c r="AN27" i="7"/>
  <c r="AN14" i="7"/>
  <c r="AN97" i="7"/>
  <c r="AN48" i="7"/>
  <c r="AN115" i="7"/>
  <c r="AN37" i="7"/>
  <c r="AN121" i="7"/>
  <c r="AN105" i="7"/>
  <c r="AN94" i="7"/>
  <c r="AN86" i="7"/>
  <c r="AN77" i="7"/>
  <c r="AN61" i="7"/>
  <c r="AN120" i="7"/>
  <c r="AN112" i="7"/>
  <c r="AN104" i="7"/>
  <c r="AN93" i="7"/>
  <c r="AN85" i="7"/>
  <c r="AP85" i="7"/>
  <c r="AT85" i="7" s="1"/>
  <c r="AN76" i="7"/>
  <c r="AN60" i="7"/>
  <c r="AN52" i="7"/>
  <c r="AN44" i="7"/>
  <c r="AN34" i="7"/>
  <c r="AN26" i="7"/>
  <c r="AN13" i="7"/>
  <c r="AP13" i="7"/>
  <c r="AT13" i="7" s="1"/>
  <c r="AN108" i="7"/>
  <c r="AN72" i="7"/>
  <c r="AN38" i="7"/>
  <c r="AN114" i="7"/>
  <c r="AN95" i="7"/>
  <c r="AN78" i="7"/>
  <c r="AN54" i="7"/>
  <c r="AN28" i="7"/>
  <c r="AP28" i="7"/>
  <c r="AT28" i="7" s="1"/>
  <c r="AN75" i="7"/>
  <c r="AN43" i="7"/>
  <c r="AN12" i="7"/>
  <c r="AN107" i="7"/>
  <c r="AN21" i="7"/>
  <c r="AN122" i="7"/>
  <c r="AP122" i="7"/>
  <c r="AT122" i="7" s="1"/>
  <c r="AN106" i="7"/>
  <c r="AN70" i="7"/>
  <c r="AN36" i="7"/>
  <c r="AN119" i="7"/>
  <c r="AN92" i="7"/>
  <c r="AN33" i="7"/>
  <c r="AN118" i="7"/>
  <c r="AN110" i="7"/>
  <c r="AN99" i="7"/>
  <c r="AN91" i="7"/>
  <c r="AN82" i="7"/>
  <c r="AN74" i="7"/>
  <c r="AN66" i="7"/>
  <c r="AN58" i="7"/>
  <c r="AN50" i="7"/>
  <c r="AN42" i="7"/>
  <c r="AN32" i="7"/>
  <c r="AN24" i="7"/>
  <c r="AN89" i="7"/>
  <c r="AN56" i="7"/>
  <c r="AN22" i="7"/>
  <c r="AN96" i="7"/>
  <c r="AN62" i="7"/>
  <c r="AN46" i="7"/>
  <c r="AP46" i="7"/>
  <c r="AT46" i="7" s="1"/>
  <c r="AN20" i="7"/>
  <c r="AN111" i="7"/>
  <c r="AN100" i="7"/>
  <c r="AN83" i="7"/>
  <c r="AN67" i="7"/>
  <c r="AN59" i="7"/>
  <c r="AN51" i="7"/>
  <c r="AP51" i="7"/>
  <c r="AT51" i="7" s="1"/>
  <c r="AN25" i="7"/>
  <c r="AN117" i="7"/>
  <c r="AN109" i="7"/>
  <c r="AN98" i="7"/>
  <c r="AN90" i="7"/>
  <c r="AP90" i="7"/>
  <c r="AT90" i="7" s="1"/>
  <c r="AN81" i="7"/>
  <c r="AN73" i="7"/>
  <c r="AN65" i="7"/>
  <c r="AN39" i="7"/>
  <c r="AN23" i="7"/>
  <c r="AN10" i="7"/>
  <c r="AP10" i="7"/>
  <c r="AT10" i="7" s="1"/>
  <c r="AN80" i="7"/>
  <c r="AP80" i="7"/>
  <c r="AT80" i="7" s="1"/>
  <c r="AN30" i="7"/>
  <c r="AN87" i="7"/>
  <c r="AN53" i="7"/>
  <c r="AN55" i="7"/>
  <c r="AN31" i="7"/>
  <c r="AP2" i="7"/>
  <c r="AT2" i="7" s="1"/>
  <c r="AQ132" i="7"/>
  <c r="AQ131" i="7"/>
  <c r="AR131" i="7"/>
  <c r="AR132" i="7"/>
  <c r="AP93" i="7"/>
  <c r="AT93" i="7" s="1"/>
  <c r="AP21" i="7"/>
  <c r="AT21" i="7" s="1"/>
  <c r="AP60" i="7"/>
  <c r="AT60" i="7" s="1"/>
  <c r="AN57" i="7"/>
  <c r="AN49" i="7"/>
  <c r="P91" i="7"/>
  <c r="P90" i="7"/>
  <c r="P89" i="7"/>
  <c r="P88" i="7"/>
  <c r="P87" i="7"/>
  <c r="P86" i="7"/>
  <c r="P85" i="7"/>
  <c r="P15" i="7"/>
  <c r="P14" i="7"/>
  <c r="P13" i="7"/>
  <c r="P12" i="7"/>
  <c r="P11" i="7"/>
  <c r="P10" i="7"/>
  <c r="Z25" i="7"/>
  <c r="Z3" i="7"/>
  <c r="Z4" i="7"/>
  <c r="Z5" i="7"/>
  <c r="Z6" i="7"/>
  <c r="Z7" i="7"/>
  <c r="Z8" i="7"/>
  <c r="Z9" i="7"/>
  <c r="Z10" i="7"/>
  <c r="Z11" i="7"/>
  <c r="Z12" i="7"/>
  <c r="Z13" i="7"/>
  <c r="Z14" i="7"/>
  <c r="Z15" i="7"/>
  <c r="Z17" i="7"/>
  <c r="Z20" i="7"/>
  <c r="Z21" i="7"/>
  <c r="Z22" i="7"/>
  <c r="Z23" i="7"/>
  <c r="Z24" i="7"/>
  <c r="Z26" i="7"/>
  <c r="Z27" i="7"/>
  <c r="Z28" i="7"/>
  <c r="Z29" i="7"/>
  <c r="Z30" i="7"/>
  <c r="Z31" i="7"/>
  <c r="Z32" i="7"/>
  <c r="Z33" i="7"/>
  <c r="Z34" i="7"/>
  <c r="Z36" i="7"/>
  <c r="Z37" i="7"/>
  <c r="Z38" i="7"/>
  <c r="Z39" i="7"/>
  <c r="Z40" i="7"/>
  <c r="Z41" i="7"/>
  <c r="Z42" i="7"/>
  <c r="Z43" i="7"/>
  <c r="Z44" i="7"/>
  <c r="Z45" i="7"/>
  <c r="Z46" i="7"/>
  <c r="Z47" i="7"/>
  <c r="Z49" i="7"/>
  <c r="Z50" i="7"/>
  <c r="Z51" i="7"/>
  <c r="Z52" i="7"/>
  <c r="Z53" i="7"/>
  <c r="Z54" i="7"/>
  <c r="Z55" i="7"/>
  <c r="Z56" i="7"/>
  <c r="Z57" i="7"/>
  <c r="Z58" i="7"/>
  <c r="Z59" i="7"/>
  <c r="Z60" i="7"/>
  <c r="Z61" i="7"/>
  <c r="Z62" i="7"/>
  <c r="Z63" i="7"/>
  <c r="Z64" i="7"/>
  <c r="Z65" i="7"/>
  <c r="Z66" i="7"/>
  <c r="Z67" i="7"/>
  <c r="Z68" i="7"/>
  <c r="Z69" i="7"/>
  <c r="Z70" i="7"/>
  <c r="Z71" i="7"/>
  <c r="Z72" i="7"/>
  <c r="Z73" i="7"/>
  <c r="Z74" i="7"/>
  <c r="Z75" i="7"/>
  <c r="Z76" i="7"/>
  <c r="Z77" i="7"/>
  <c r="Z78" i="7"/>
  <c r="Z79" i="7"/>
  <c r="Z80" i="7"/>
  <c r="Z81" i="7"/>
  <c r="Z83" i="7"/>
  <c r="Z85" i="7"/>
  <c r="Z86" i="7"/>
  <c r="Z87" i="7"/>
  <c r="Z88" i="7"/>
  <c r="Z89" i="7"/>
  <c r="Z90" i="7"/>
  <c r="Z91" i="7"/>
  <c r="Z92" i="7"/>
  <c r="Z93" i="7"/>
  <c r="Z94" i="7"/>
  <c r="Z96" i="7"/>
  <c r="Z97" i="7"/>
  <c r="Z98" i="7"/>
  <c r="Z99" i="7"/>
  <c r="Z100" i="7"/>
  <c r="Z101" i="7"/>
  <c r="Z102" i="7"/>
  <c r="Z103" i="7"/>
  <c r="Z104" i="7"/>
  <c r="Z105" i="7"/>
  <c r="Z106" i="7"/>
  <c r="Z107" i="7"/>
  <c r="Z108" i="7"/>
  <c r="Z109" i="7"/>
  <c r="Z110" i="7"/>
  <c r="Z111" i="7"/>
  <c r="Z112" i="7"/>
  <c r="Z113" i="7"/>
  <c r="Z114" i="7"/>
  <c r="Z115" i="7"/>
  <c r="Z116" i="7"/>
  <c r="Z117" i="7"/>
  <c r="Z118" i="7"/>
  <c r="Z119" i="7"/>
  <c r="Z120" i="7"/>
  <c r="Z121" i="7"/>
  <c r="Z122" i="7"/>
  <c r="Z123" i="7"/>
  <c r="Z124" i="7"/>
  <c r="Z125" i="7"/>
  <c r="Z126" i="7"/>
  <c r="Z2" i="7"/>
  <c r="S3" i="7"/>
  <c r="S4" i="7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58" i="7"/>
  <c r="S59" i="7"/>
  <c r="S60" i="7"/>
  <c r="S61" i="7"/>
  <c r="S62" i="7"/>
  <c r="S63" i="7"/>
  <c r="S64" i="7"/>
  <c r="S65" i="7"/>
  <c r="S66" i="7"/>
  <c r="S67" i="7"/>
  <c r="S68" i="7"/>
  <c r="S69" i="7"/>
  <c r="S70" i="7"/>
  <c r="S71" i="7"/>
  <c r="S72" i="7"/>
  <c r="S73" i="7"/>
  <c r="S74" i="7"/>
  <c r="S75" i="7"/>
  <c r="S76" i="7"/>
  <c r="S77" i="7"/>
  <c r="S78" i="7"/>
  <c r="S79" i="7"/>
  <c r="S80" i="7"/>
  <c r="S81" i="7"/>
  <c r="S82" i="7"/>
  <c r="S83" i="7"/>
  <c r="S84" i="7"/>
  <c r="S85" i="7"/>
  <c r="S86" i="7"/>
  <c r="S87" i="7"/>
  <c r="S88" i="7"/>
  <c r="S89" i="7"/>
  <c r="S90" i="7"/>
  <c r="S91" i="7"/>
  <c r="S92" i="7"/>
  <c r="S93" i="7"/>
  <c r="S94" i="7"/>
  <c r="S95" i="7"/>
  <c r="S96" i="7"/>
  <c r="S97" i="7"/>
  <c r="S98" i="7"/>
  <c r="S99" i="7"/>
  <c r="S100" i="7"/>
  <c r="S101" i="7"/>
  <c r="S102" i="7"/>
  <c r="S103" i="7"/>
  <c r="S104" i="7"/>
  <c r="S105" i="7"/>
  <c r="S106" i="7"/>
  <c r="S107" i="7"/>
  <c r="S108" i="7"/>
  <c r="S109" i="7"/>
  <c r="S110" i="7"/>
  <c r="S111" i="7"/>
  <c r="S112" i="7"/>
  <c r="S113" i="7"/>
  <c r="S114" i="7"/>
  <c r="S115" i="7"/>
  <c r="S116" i="7"/>
  <c r="S117" i="7"/>
  <c r="S118" i="7"/>
  <c r="S119" i="7"/>
  <c r="S120" i="7"/>
  <c r="S121" i="7"/>
  <c r="S122" i="7"/>
  <c r="S123" i="7"/>
  <c r="S124" i="7"/>
  <c r="S125" i="7"/>
  <c r="S126" i="7"/>
  <c r="S2" i="7"/>
  <c r="L126" i="7"/>
  <c r="O126" i="7" s="1"/>
  <c r="I126" i="7"/>
  <c r="N126" i="7" s="1"/>
  <c r="L125" i="7"/>
  <c r="O125" i="7" s="1"/>
  <c r="I125" i="7"/>
  <c r="N125" i="7" s="1"/>
  <c r="L124" i="7"/>
  <c r="O124" i="7" s="1"/>
  <c r="I124" i="7"/>
  <c r="N124" i="7" s="1"/>
  <c r="L123" i="7"/>
  <c r="O123" i="7" s="1"/>
  <c r="I123" i="7"/>
  <c r="N123" i="7" s="1"/>
  <c r="L122" i="7"/>
  <c r="O122" i="7" s="1"/>
  <c r="I122" i="7"/>
  <c r="N122" i="7" s="1"/>
  <c r="L121" i="7"/>
  <c r="O121" i="7" s="1"/>
  <c r="I121" i="7"/>
  <c r="N121" i="7" s="1"/>
  <c r="L120" i="7"/>
  <c r="O120" i="7" s="1"/>
  <c r="I120" i="7"/>
  <c r="N120" i="7" s="1"/>
  <c r="L119" i="7"/>
  <c r="O119" i="7" s="1"/>
  <c r="I119" i="7"/>
  <c r="N119" i="7" s="1"/>
  <c r="L118" i="7"/>
  <c r="O118" i="7" s="1"/>
  <c r="I118" i="7"/>
  <c r="N118" i="7" s="1"/>
  <c r="L117" i="7"/>
  <c r="O117" i="7" s="1"/>
  <c r="I117" i="7"/>
  <c r="N117" i="7" s="1"/>
  <c r="L116" i="7"/>
  <c r="O116" i="7" s="1"/>
  <c r="I116" i="7"/>
  <c r="N116" i="7" s="1"/>
  <c r="L115" i="7"/>
  <c r="O115" i="7" s="1"/>
  <c r="I115" i="7"/>
  <c r="N115" i="7" s="1"/>
  <c r="L114" i="7"/>
  <c r="O114" i="7" s="1"/>
  <c r="I114" i="7"/>
  <c r="N114" i="7" s="1"/>
  <c r="L113" i="7"/>
  <c r="O113" i="7" s="1"/>
  <c r="I113" i="7"/>
  <c r="N113" i="7" s="1"/>
  <c r="L112" i="7"/>
  <c r="O112" i="7" s="1"/>
  <c r="I112" i="7"/>
  <c r="N112" i="7" s="1"/>
  <c r="L111" i="7"/>
  <c r="O111" i="7" s="1"/>
  <c r="I111" i="7"/>
  <c r="N111" i="7" s="1"/>
  <c r="L110" i="7"/>
  <c r="O110" i="7" s="1"/>
  <c r="I110" i="7"/>
  <c r="N110" i="7" s="1"/>
  <c r="L109" i="7"/>
  <c r="O109" i="7" s="1"/>
  <c r="I109" i="7"/>
  <c r="N109" i="7" s="1"/>
  <c r="L108" i="7"/>
  <c r="O108" i="7" s="1"/>
  <c r="I108" i="7"/>
  <c r="N108" i="7" s="1"/>
  <c r="L107" i="7"/>
  <c r="O107" i="7" s="1"/>
  <c r="I107" i="7"/>
  <c r="N107" i="7" s="1"/>
  <c r="L106" i="7"/>
  <c r="O106" i="7" s="1"/>
  <c r="I106" i="7"/>
  <c r="N106" i="7" s="1"/>
  <c r="L105" i="7"/>
  <c r="O105" i="7" s="1"/>
  <c r="I105" i="7"/>
  <c r="N105" i="7" s="1"/>
  <c r="L104" i="7"/>
  <c r="O104" i="7" s="1"/>
  <c r="I104" i="7"/>
  <c r="N104" i="7" s="1"/>
  <c r="L103" i="7"/>
  <c r="O103" i="7" s="1"/>
  <c r="I103" i="7"/>
  <c r="N103" i="7" s="1"/>
  <c r="L102" i="7"/>
  <c r="O102" i="7" s="1"/>
  <c r="I102" i="7"/>
  <c r="N102" i="7" s="1"/>
  <c r="L101" i="7"/>
  <c r="O101" i="7" s="1"/>
  <c r="I101" i="7"/>
  <c r="N101" i="7" s="1"/>
  <c r="L100" i="7"/>
  <c r="O100" i="7" s="1"/>
  <c r="I100" i="7"/>
  <c r="N100" i="7" s="1"/>
  <c r="L99" i="7"/>
  <c r="O99" i="7" s="1"/>
  <c r="I99" i="7"/>
  <c r="N99" i="7" s="1"/>
  <c r="L98" i="7"/>
  <c r="O98" i="7" s="1"/>
  <c r="I98" i="7"/>
  <c r="N98" i="7" s="1"/>
  <c r="L97" i="7"/>
  <c r="O97" i="7" s="1"/>
  <c r="I97" i="7"/>
  <c r="N97" i="7" s="1"/>
  <c r="L96" i="7"/>
  <c r="O96" i="7" s="1"/>
  <c r="I96" i="7"/>
  <c r="N96" i="7" s="1"/>
  <c r="L95" i="7"/>
  <c r="O95" i="7" s="1"/>
  <c r="I95" i="7"/>
  <c r="N95" i="7" s="1"/>
  <c r="L94" i="7"/>
  <c r="O94" i="7" s="1"/>
  <c r="I94" i="7"/>
  <c r="N94" i="7" s="1"/>
  <c r="L93" i="7"/>
  <c r="O93" i="7" s="1"/>
  <c r="I93" i="7"/>
  <c r="N93" i="7" s="1"/>
  <c r="L92" i="7"/>
  <c r="O92" i="7" s="1"/>
  <c r="I92" i="7"/>
  <c r="N92" i="7" s="1"/>
  <c r="L84" i="7"/>
  <c r="O84" i="7" s="1"/>
  <c r="I84" i="7"/>
  <c r="N84" i="7" s="1"/>
  <c r="L83" i="7"/>
  <c r="O83" i="7" s="1"/>
  <c r="I83" i="7"/>
  <c r="N83" i="7" s="1"/>
  <c r="L82" i="7"/>
  <c r="O82" i="7" s="1"/>
  <c r="I82" i="7"/>
  <c r="N82" i="7" s="1"/>
  <c r="L81" i="7"/>
  <c r="O81" i="7" s="1"/>
  <c r="I81" i="7"/>
  <c r="N81" i="7" s="1"/>
  <c r="L80" i="7"/>
  <c r="O80" i="7" s="1"/>
  <c r="I80" i="7"/>
  <c r="N80" i="7" s="1"/>
  <c r="L79" i="7"/>
  <c r="O79" i="7" s="1"/>
  <c r="I79" i="7"/>
  <c r="N79" i="7" s="1"/>
  <c r="L78" i="7"/>
  <c r="O78" i="7" s="1"/>
  <c r="I78" i="7"/>
  <c r="N78" i="7" s="1"/>
  <c r="L77" i="7"/>
  <c r="O77" i="7" s="1"/>
  <c r="I77" i="7"/>
  <c r="N77" i="7" s="1"/>
  <c r="L76" i="7"/>
  <c r="O76" i="7" s="1"/>
  <c r="I76" i="7"/>
  <c r="N76" i="7" s="1"/>
  <c r="L75" i="7"/>
  <c r="O75" i="7" s="1"/>
  <c r="I75" i="7"/>
  <c r="N75" i="7" s="1"/>
  <c r="L74" i="7"/>
  <c r="O74" i="7" s="1"/>
  <c r="I74" i="7"/>
  <c r="N74" i="7" s="1"/>
  <c r="L73" i="7"/>
  <c r="O73" i="7" s="1"/>
  <c r="I73" i="7"/>
  <c r="N73" i="7" s="1"/>
  <c r="L72" i="7"/>
  <c r="O72" i="7" s="1"/>
  <c r="I72" i="7"/>
  <c r="N72" i="7" s="1"/>
  <c r="L71" i="7"/>
  <c r="O71" i="7" s="1"/>
  <c r="I71" i="7"/>
  <c r="N71" i="7" s="1"/>
  <c r="L70" i="7"/>
  <c r="O70" i="7" s="1"/>
  <c r="I70" i="7"/>
  <c r="N70" i="7" s="1"/>
  <c r="L69" i="7"/>
  <c r="O69" i="7" s="1"/>
  <c r="I69" i="7"/>
  <c r="N69" i="7" s="1"/>
  <c r="L68" i="7"/>
  <c r="O68" i="7" s="1"/>
  <c r="I68" i="7"/>
  <c r="N68" i="7" s="1"/>
  <c r="L67" i="7"/>
  <c r="O67" i="7" s="1"/>
  <c r="I67" i="7"/>
  <c r="N67" i="7" s="1"/>
  <c r="L66" i="7"/>
  <c r="O66" i="7" s="1"/>
  <c r="I66" i="7"/>
  <c r="N66" i="7" s="1"/>
  <c r="L65" i="7"/>
  <c r="O65" i="7" s="1"/>
  <c r="I65" i="7"/>
  <c r="N65" i="7" s="1"/>
  <c r="L64" i="7"/>
  <c r="O64" i="7" s="1"/>
  <c r="I64" i="7"/>
  <c r="N64" i="7" s="1"/>
  <c r="L63" i="7"/>
  <c r="O63" i="7" s="1"/>
  <c r="I63" i="7"/>
  <c r="N63" i="7" s="1"/>
  <c r="L62" i="7"/>
  <c r="O62" i="7" s="1"/>
  <c r="I62" i="7"/>
  <c r="N62" i="7" s="1"/>
  <c r="L61" i="7"/>
  <c r="O61" i="7" s="1"/>
  <c r="I61" i="7"/>
  <c r="N61" i="7" s="1"/>
  <c r="L60" i="7"/>
  <c r="O60" i="7" s="1"/>
  <c r="I60" i="7"/>
  <c r="N60" i="7" s="1"/>
  <c r="L59" i="7"/>
  <c r="O59" i="7" s="1"/>
  <c r="I59" i="7"/>
  <c r="N59" i="7" s="1"/>
  <c r="L58" i="7"/>
  <c r="O58" i="7" s="1"/>
  <c r="I58" i="7"/>
  <c r="N58" i="7" s="1"/>
  <c r="L57" i="7"/>
  <c r="O57" i="7" s="1"/>
  <c r="I57" i="7"/>
  <c r="N57" i="7" s="1"/>
  <c r="L56" i="7"/>
  <c r="O56" i="7" s="1"/>
  <c r="I56" i="7"/>
  <c r="N56" i="7" s="1"/>
  <c r="L55" i="7"/>
  <c r="O55" i="7" s="1"/>
  <c r="I55" i="7"/>
  <c r="N55" i="7" s="1"/>
  <c r="L54" i="7"/>
  <c r="O54" i="7" s="1"/>
  <c r="I54" i="7"/>
  <c r="N54" i="7" s="1"/>
  <c r="L53" i="7"/>
  <c r="O53" i="7" s="1"/>
  <c r="I53" i="7"/>
  <c r="N53" i="7" s="1"/>
  <c r="L52" i="7"/>
  <c r="O52" i="7" s="1"/>
  <c r="I52" i="7"/>
  <c r="N52" i="7" s="1"/>
  <c r="L51" i="7"/>
  <c r="O51" i="7" s="1"/>
  <c r="I51" i="7"/>
  <c r="N51" i="7" s="1"/>
  <c r="L50" i="7"/>
  <c r="O50" i="7" s="1"/>
  <c r="I50" i="7"/>
  <c r="N50" i="7" s="1"/>
  <c r="L49" i="7"/>
  <c r="O49" i="7" s="1"/>
  <c r="I49" i="7"/>
  <c r="N49" i="7" s="1"/>
  <c r="L48" i="7"/>
  <c r="O48" i="7" s="1"/>
  <c r="I48" i="7"/>
  <c r="N48" i="7" s="1"/>
  <c r="L47" i="7"/>
  <c r="O47" i="7" s="1"/>
  <c r="I47" i="7"/>
  <c r="N47" i="7" s="1"/>
  <c r="L46" i="7"/>
  <c r="O46" i="7" s="1"/>
  <c r="I46" i="7"/>
  <c r="N46" i="7" s="1"/>
  <c r="L45" i="7"/>
  <c r="O45" i="7" s="1"/>
  <c r="I45" i="7"/>
  <c r="N45" i="7" s="1"/>
  <c r="L44" i="7"/>
  <c r="O44" i="7" s="1"/>
  <c r="I44" i="7"/>
  <c r="N44" i="7" s="1"/>
  <c r="L43" i="7"/>
  <c r="O43" i="7" s="1"/>
  <c r="I43" i="7"/>
  <c r="N43" i="7" s="1"/>
  <c r="L42" i="7"/>
  <c r="O42" i="7" s="1"/>
  <c r="I42" i="7"/>
  <c r="N42" i="7" s="1"/>
  <c r="L41" i="7"/>
  <c r="O41" i="7" s="1"/>
  <c r="I41" i="7"/>
  <c r="N41" i="7" s="1"/>
  <c r="L40" i="7"/>
  <c r="O40" i="7" s="1"/>
  <c r="I40" i="7"/>
  <c r="N40" i="7" s="1"/>
  <c r="L39" i="7"/>
  <c r="O39" i="7" s="1"/>
  <c r="I39" i="7"/>
  <c r="N39" i="7" s="1"/>
  <c r="L38" i="7"/>
  <c r="O38" i="7" s="1"/>
  <c r="I38" i="7"/>
  <c r="N38" i="7" s="1"/>
  <c r="L37" i="7"/>
  <c r="O37" i="7" s="1"/>
  <c r="I37" i="7"/>
  <c r="N37" i="7" s="1"/>
  <c r="L36" i="7"/>
  <c r="O36" i="7" s="1"/>
  <c r="I36" i="7"/>
  <c r="N36" i="7" s="1"/>
  <c r="L35" i="7"/>
  <c r="O35" i="7" s="1"/>
  <c r="I35" i="7"/>
  <c r="N35" i="7" s="1"/>
  <c r="L34" i="7"/>
  <c r="O34" i="7" s="1"/>
  <c r="I34" i="7"/>
  <c r="N34" i="7" s="1"/>
  <c r="L33" i="7"/>
  <c r="O33" i="7" s="1"/>
  <c r="I33" i="7"/>
  <c r="N33" i="7" s="1"/>
  <c r="L32" i="7"/>
  <c r="O32" i="7" s="1"/>
  <c r="I32" i="7"/>
  <c r="N32" i="7" s="1"/>
  <c r="L31" i="7"/>
  <c r="I31" i="7"/>
  <c r="L30" i="7"/>
  <c r="O30" i="7" s="1"/>
  <c r="I30" i="7"/>
  <c r="N30" i="7" s="1"/>
  <c r="L29" i="7"/>
  <c r="O29" i="7" s="1"/>
  <c r="I29" i="7"/>
  <c r="N29" i="7" s="1"/>
  <c r="L28" i="7"/>
  <c r="O28" i="7" s="1"/>
  <c r="I28" i="7"/>
  <c r="N28" i="7" s="1"/>
  <c r="L27" i="7"/>
  <c r="O27" i="7" s="1"/>
  <c r="I27" i="7"/>
  <c r="N27" i="7" s="1"/>
  <c r="L26" i="7"/>
  <c r="O26" i="7" s="1"/>
  <c r="I26" i="7"/>
  <c r="N26" i="7" s="1"/>
  <c r="L25" i="7"/>
  <c r="O25" i="7" s="1"/>
  <c r="I25" i="7"/>
  <c r="N25" i="7" s="1"/>
  <c r="L24" i="7"/>
  <c r="O24" i="7" s="1"/>
  <c r="I24" i="7"/>
  <c r="N24" i="7" s="1"/>
  <c r="L23" i="7"/>
  <c r="O23" i="7" s="1"/>
  <c r="I23" i="7"/>
  <c r="N23" i="7" s="1"/>
  <c r="L22" i="7"/>
  <c r="O22" i="7" s="1"/>
  <c r="I22" i="7"/>
  <c r="N22" i="7" s="1"/>
  <c r="L21" i="7"/>
  <c r="O21" i="7" s="1"/>
  <c r="I21" i="7"/>
  <c r="N21" i="7" s="1"/>
  <c r="L20" i="7"/>
  <c r="O20" i="7" s="1"/>
  <c r="I20" i="7"/>
  <c r="N20" i="7" s="1"/>
  <c r="L19" i="7"/>
  <c r="O19" i="7" s="1"/>
  <c r="I19" i="7"/>
  <c r="N19" i="7" s="1"/>
  <c r="L18" i="7"/>
  <c r="O18" i="7" s="1"/>
  <c r="I18" i="7"/>
  <c r="N18" i="7" s="1"/>
  <c r="L17" i="7"/>
  <c r="O17" i="7" s="1"/>
  <c r="I17" i="7"/>
  <c r="N17" i="7" s="1"/>
  <c r="L16" i="7"/>
  <c r="O16" i="7" s="1"/>
  <c r="I16" i="7"/>
  <c r="N16" i="7" s="1"/>
  <c r="L9" i="7"/>
  <c r="O9" i="7" s="1"/>
  <c r="I9" i="7"/>
  <c r="N9" i="7" s="1"/>
  <c r="L8" i="7"/>
  <c r="O8" i="7" s="1"/>
  <c r="I8" i="7"/>
  <c r="N8" i="7" s="1"/>
  <c r="L7" i="7"/>
  <c r="O7" i="7" s="1"/>
  <c r="I7" i="7"/>
  <c r="N7" i="7" s="1"/>
  <c r="L6" i="7"/>
  <c r="O6" i="7" s="1"/>
  <c r="I6" i="7"/>
  <c r="N6" i="7" s="1"/>
  <c r="L5" i="7"/>
  <c r="O5" i="7" s="1"/>
  <c r="I5" i="7"/>
  <c r="N5" i="7" s="1"/>
  <c r="L4" i="7"/>
  <c r="O4" i="7" s="1"/>
  <c r="I4" i="7"/>
  <c r="N4" i="7" s="1"/>
  <c r="L3" i="7"/>
  <c r="O3" i="7" s="1"/>
  <c r="I3" i="7"/>
  <c r="L2" i="7"/>
  <c r="O2" i="7" s="1"/>
  <c r="I2" i="7"/>
  <c r="AG69" i="7" l="1"/>
  <c r="AG56" i="7"/>
  <c r="AG67" i="7"/>
  <c r="AG24" i="7"/>
  <c r="AG94" i="7"/>
  <c r="AG91" i="7"/>
  <c r="AG47" i="7"/>
  <c r="AG31" i="7"/>
  <c r="AG44" i="7"/>
  <c r="AG39" i="7"/>
  <c r="AG120" i="7"/>
  <c r="AG114" i="7"/>
  <c r="AG54" i="7"/>
  <c r="AG109" i="7"/>
  <c r="AG33" i="7"/>
  <c r="AG61" i="7"/>
  <c r="AG123" i="7"/>
  <c r="AG22" i="7"/>
  <c r="AG58" i="7"/>
  <c r="AG85" i="7"/>
  <c r="AG20" i="7"/>
  <c r="AG100" i="7"/>
  <c r="AG89" i="7"/>
  <c r="AG73" i="7"/>
  <c r="AG36" i="7"/>
  <c r="AG27" i="7"/>
  <c r="AG84" i="7"/>
  <c r="AG124" i="7"/>
  <c r="AG125" i="7"/>
  <c r="AG103" i="7"/>
  <c r="AG6" i="7"/>
  <c r="AG102" i="7"/>
  <c r="AG126" i="7"/>
  <c r="AG7" i="7"/>
  <c r="AG15" i="7"/>
  <c r="AG127" i="7"/>
  <c r="AG8" i="7"/>
  <c r="AG16" i="7"/>
  <c r="AG40" i="7"/>
  <c r="AG2" i="7"/>
  <c r="AG9" i="7"/>
  <c r="AG17" i="7"/>
  <c r="AG41" i="7"/>
  <c r="AG18" i="7"/>
  <c r="AG3" i="7"/>
  <c r="AG19" i="7"/>
  <c r="AG5" i="7"/>
  <c r="AG101" i="7"/>
  <c r="AG21" i="7"/>
  <c r="AG65" i="7"/>
  <c r="AG98" i="7"/>
  <c r="AG11" i="7"/>
  <c r="AG76" i="7"/>
  <c r="AG112" i="7"/>
  <c r="AG14" i="7"/>
  <c r="AG53" i="7"/>
  <c r="AG79" i="7"/>
  <c r="AG115" i="7"/>
  <c r="AG30" i="7"/>
  <c r="AG64" i="7"/>
  <c r="AG97" i="7"/>
  <c r="AG106" i="7"/>
  <c r="AG32" i="7"/>
  <c r="AG66" i="7"/>
  <c r="AG99" i="7"/>
  <c r="AG87" i="7"/>
  <c r="AG43" i="7"/>
  <c r="AG75" i="7"/>
  <c r="AG111" i="7"/>
  <c r="AG13" i="7"/>
  <c r="AG52" i="7"/>
  <c r="AG105" i="7"/>
  <c r="AG78" i="7"/>
  <c r="AG55" i="7"/>
  <c r="AG49" i="7"/>
  <c r="AG81" i="7"/>
  <c r="AG117" i="7"/>
  <c r="AG93" i="7"/>
  <c r="AG28" i="7"/>
  <c r="AG35" i="7"/>
  <c r="AG96" i="7"/>
  <c r="AG46" i="7"/>
  <c r="AG38" i="7"/>
  <c r="AG72" i="7"/>
  <c r="AG108" i="7"/>
  <c r="AG10" i="7"/>
  <c r="AG42" i="7"/>
  <c r="AG74" i="7"/>
  <c r="AG110" i="7"/>
  <c r="AG12" i="7"/>
  <c r="AG51" i="7"/>
  <c r="AG83" i="7"/>
  <c r="AG119" i="7"/>
  <c r="AG26" i="7"/>
  <c r="AG60" i="7"/>
  <c r="AG77" i="7"/>
  <c r="AG113" i="7"/>
  <c r="AG29" i="7"/>
  <c r="AG57" i="7"/>
  <c r="AG90" i="7"/>
  <c r="AG95" i="7"/>
  <c r="AG104" i="7"/>
  <c r="AG70" i="7"/>
  <c r="AG45" i="7"/>
  <c r="AG71" i="7"/>
  <c r="AG107" i="7"/>
  <c r="AG122" i="7"/>
  <c r="AG4" i="7"/>
  <c r="AG48" i="7"/>
  <c r="AG80" i="7"/>
  <c r="AG116" i="7"/>
  <c r="AG23" i="7"/>
  <c r="AG50" i="7"/>
  <c r="AG82" i="7"/>
  <c r="AG118" i="7"/>
  <c r="AG25" i="7"/>
  <c r="AG59" i="7"/>
  <c r="AG92" i="7"/>
  <c r="AG62" i="7"/>
  <c r="AG34" i="7"/>
  <c r="AG68" i="7"/>
  <c r="AG86" i="7"/>
  <c r="AG121" i="7"/>
  <c r="AG37" i="7"/>
  <c r="N31" i="7"/>
  <c r="I131" i="7"/>
  <c r="I132" i="7"/>
  <c r="O31" i="7"/>
  <c r="P31" i="7" s="1"/>
  <c r="L131" i="7"/>
  <c r="L132" i="7"/>
  <c r="AO132" i="7"/>
  <c r="AO131" i="7"/>
  <c r="S132" i="7"/>
  <c r="S131" i="7"/>
  <c r="Z132" i="7"/>
  <c r="Z131" i="7"/>
  <c r="AA127" i="7" s="1"/>
  <c r="AN132" i="7"/>
  <c r="AN131" i="7"/>
  <c r="BA132" i="7"/>
  <c r="BA131" i="7"/>
  <c r="AS131" i="7"/>
  <c r="AS132" i="7"/>
  <c r="P5" i="7"/>
  <c r="P39" i="7"/>
  <c r="P124" i="7"/>
  <c r="P125" i="7"/>
  <c r="P68" i="7"/>
  <c r="P47" i="7"/>
  <c r="P33" i="7"/>
  <c r="P9" i="7"/>
  <c r="P44" i="7"/>
  <c r="P41" i="7"/>
  <c r="P63" i="7"/>
  <c r="P101" i="7"/>
  <c r="P109" i="7"/>
  <c r="P49" i="7"/>
  <c r="P57" i="7"/>
  <c r="P117" i="7"/>
  <c r="P65" i="7"/>
  <c r="P107" i="7"/>
  <c r="P73" i="7"/>
  <c r="P95" i="7"/>
  <c r="P115" i="7"/>
  <c r="P96" i="7"/>
  <c r="P100" i="7"/>
  <c r="P123" i="7"/>
  <c r="P23" i="7"/>
  <c r="P8" i="7"/>
  <c r="P17" i="7"/>
  <c r="P34" i="7"/>
  <c r="P81" i="7"/>
  <c r="P110" i="7"/>
  <c r="P58" i="7"/>
  <c r="P22" i="7"/>
  <c r="P66" i="7"/>
  <c r="P25" i="7"/>
  <c r="P116" i="7"/>
  <c r="P119" i="7"/>
  <c r="P111" i="7"/>
  <c r="P50" i="7"/>
  <c r="P74" i="7"/>
  <c r="P55" i="7"/>
  <c r="P52" i="7"/>
  <c r="P79" i="7"/>
  <c r="P76" i="7"/>
  <c r="P71" i="7"/>
  <c r="P36" i="7"/>
  <c r="P60" i="7"/>
  <c r="P42" i="7"/>
  <c r="P82" i="7"/>
  <c r="P105" i="7"/>
  <c r="P7" i="7"/>
  <c r="P98" i="7"/>
  <c r="P118" i="7"/>
  <c r="P18" i="7"/>
  <c r="P20" i="7"/>
  <c r="P26" i="7"/>
  <c r="P45" i="7"/>
  <c r="P106" i="7"/>
  <c r="P113" i="7"/>
  <c r="P19" i="7"/>
  <c r="P122" i="7"/>
  <c r="P35" i="7"/>
  <c r="P43" i="7"/>
  <c r="P51" i="7"/>
  <c r="P59" i="7"/>
  <c r="P67" i="7"/>
  <c r="P75" i="7"/>
  <c r="P83" i="7"/>
  <c r="P103" i="7"/>
  <c r="P108" i="7"/>
  <c r="P102" i="7"/>
  <c r="P84" i="7"/>
  <c r="P38" i="7"/>
  <c r="P46" i="7"/>
  <c r="P54" i="7"/>
  <c r="P99" i="7"/>
  <c r="P114" i="7"/>
  <c r="P121" i="7"/>
  <c r="P4" i="7"/>
  <c r="P28" i="7"/>
  <c r="P27" i="7"/>
  <c r="P30" i="7"/>
  <c r="P94" i="7"/>
  <c r="P92" i="7"/>
  <c r="P93" i="7"/>
  <c r="P126" i="7"/>
  <c r="N3" i="7"/>
  <c r="P3" i="7" s="1"/>
  <c r="P16" i="7"/>
  <c r="P24" i="7"/>
  <c r="P32" i="7"/>
  <c r="P40" i="7"/>
  <c r="P48" i="7"/>
  <c r="P56" i="7"/>
  <c r="P62" i="7"/>
  <c r="P64" i="7"/>
  <c r="P70" i="7"/>
  <c r="P72" i="7"/>
  <c r="P78" i="7"/>
  <c r="P80" i="7"/>
  <c r="P104" i="7"/>
  <c r="P6" i="7"/>
  <c r="P97" i="7"/>
  <c r="P112" i="7"/>
  <c r="P120" i="7"/>
  <c r="P21" i="7"/>
  <c r="P29" i="7"/>
  <c r="P37" i="7"/>
  <c r="P53" i="7"/>
  <c r="P61" i="7"/>
  <c r="P69" i="7"/>
  <c r="P77" i="7"/>
  <c r="N2" i="7"/>
  <c r="V77" i="7" l="1"/>
  <c r="V48" i="7"/>
  <c r="AA3" i="7"/>
  <c r="O132" i="7"/>
  <c r="O131" i="7"/>
  <c r="N132" i="7"/>
  <c r="N131" i="7"/>
  <c r="V17" i="7"/>
  <c r="AP55" i="7"/>
  <c r="AA83" i="7"/>
  <c r="AA43" i="7"/>
  <c r="AA6" i="7"/>
  <c r="AA84" i="7"/>
  <c r="AA119" i="7"/>
  <c r="AA65" i="7"/>
  <c r="AA45" i="7"/>
  <c r="AA109" i="7"/>
  <c r="AA27" i="7"/>
  <c r="AA74" i="7"/>
  <c r="AA46" i="7"/>
  <c r="AA91" i="7"/>
  <c r="AA110" i="7"/>
  <c r="AA64" i="7"/>
  <c r="AA55" i="7"/>
  <c r="AA2" i="7"/>
  <c r="AA37" i="7"/>
  <c r="AA101" i="7"/>
  <c r="AA38" i="7"/>
  <c r="AA102" i="7"/>
  <c r="AA42" i="7"/>
  <c r="AA47" i="7"/>
  <c r="AA111" i="7"/>
  <c r="AA56" i="7"/>
  <c r="AA120" i="7"/>
  <c r="AA57" i="7"/>
  <c r="AA121" i="7"/>
  <c r="AA66" i="7"/>
  <c r="AA18" i="7"/>
  <c r="AA36" i="7"/>
  <c r="AA100" i="7"/>
  <c r="AA12" i="7"/>
  <c r="AA76" i="7"/>
  <c r="AA20" i="7"/>
  <c r="AA60" i="7"/>
  <c r="AA116" i="7"/>
  <c r="AA44" i="7"/>
  <c r="AA4" i="7"/>
  <c r="AA52" i="7"/>
  <c r="AA92" i="7"/>
  <c r="AA124" i="7"/>
  <c r="AA28" i="7"/>
  <c r="AA68" i="7"/>
  <c r="AA108" i="7"/>
  <c r="AA53" i="7"/>
  <c r="AA117" i="7"/>
  <c r="AA17" i="7"/>
  <c r="AA54" i="7"/>
  <c r="AA118" i="7"/>
  <c r="AA63" i="7"/>
  <c r="AA7" i="7"/>
  <c r="AA72" i="7"/>
  <c r="AA8" i="7"/>
  <c r="AA73" i="7"/>
  <c r="AA82" i="7"/>
  <c r="AA35" i="7"/>
  <c r="AA99" i="7"/>
  <c r="AA9" i="7"/>
  <c r="AA61" i="7"/>
  <c r="AA125" i="7"/>
  <c r="AA62" i="7"/>
  <c r="AA126" i="7"/>
  <c r="AA71" i="7"/>
  <c r="AA15" i="7"/>
  <c r="AA80" i="7"/>
  <c r="AA16" i="7"/>
  <c r="AA81" i="7"/>
  <c r="AA114" i="7"/>
  <c r="AA107" i="7"/>
  <c r="AA122" i="7"/>
  <c r="AA69" i="7"/>
  <c r="AA5" i="7"/>
  <c r="AA70" i="7"/>
  <c r="AA14" i="7"/>
  <c r="AA79" i="7"/>
  <c r="AA23" i="7"/>
  <c r="AA88" i="7"/>
  <c r="AA24" i="7"/>
  <c r="AA89" i="7"/>
  <c r="AA51" i="7"/>
  <c r="AA115" i="7"/>
  <c r="AA26" i="7"/>
  <c r="AA11" i="7"/>
  <c r="AA77" i="7"/>
  <c r="AA13" i="7"/>
  <c r="AA78" i="7"/>
  <c r="AA22" i="7"/>
  <c r="AA87" i="7"/>
  <c r="AA32" i="7"/>
  <c r="AA96" i="7"/>
  <c r="AA33" i="7"/>
  <c r="AA97" i="7"/>
  <c r="AA59" i="7"/>
  <c r="AA123" i="7"/>
  <c r="AA90" i="7"/>
  <c r="AA19" i="7"/>
  <c r="AA85" i="7"/>
  <c r="AA21" i="7"/>
  <c r="AA86" i="7"/>
  <c r="AA31" i="7"/>
  <c r="AA95" i="7"/>
  <c r="AA50" i="7"/>
  <c r="AA40" i="7"/>
  <c r="AA104" i="7"/>
  <c r="AA58" i="7"/>
  <c r="AA41" i="7"/>
  <c r="AA105" i="7"/>
  <c r="AA25" i="7"/>
  <c r="AA67" i="7"/>
  <c r="AA29" i="7"/>
  <c r="AA93" i="7"/>
  <c r="AA30" i="7"/>
  <c r="AA94" i="7"/>
  <c r="AA39" i="7"/>
  <c r="AA103" i="7"/>
  <c r="AA98" i="7"/>
  <c r="AA48" i="7"/>
  <c r="AA112" i="7"/>
  <c r="AA106" i="7"/>
  <c r="AA49" i="7"/>
  <c r="AA113" i="7"/>
  <c r="AA34" i="7"/>
  <c r="AA10" i="7"/>
  <c r="AA75" i="7"/>
  <c r="P2" i="7"/>
  <c r="P132" i="7" s="1"/>
  <c r="P131" i="7" l="1"/>
  <c r="V50" i="7"/>
  <c r="V16" i="7"/>
  <c r="V47" i="7"/>
  <c r="T127" i="7"/>
  <c r="U127" i="7"/>
  <c r="V127" i="7"/>
  <c r="T126" i="7"/>
  <c r="AA131" i="7"/>
  <c r="AA132" i="7"/>
  <c r="AT55" i="7"/>
  <c r="U120" i="7"/>
  <c r="U109" i="7"/>
  <c r="V44" i="7"/>
  <c r="V41" i="7"/>
  <c r="V38" i="7"/>
  <c r="T5" i="7"/>
  <c r="V53" i="7"/>
  <c r="AP132" i="7"/>
  <c r="AP131" i="7"/>
  <c r="V45" i="7"/>
  <c r="U7" i="7"/>
  <c r="U85" i="7"/>
  <c r="U90" i="7"/>
  <c r="V39" i="7"/>
  <c r="V52" i="7"/>
  <c r="V54" i="7"/>
  <c r="V56" i="7"/>
  <c r="V46" i="7"/>
  <c r="V40" i="7"/>
  <c r="V49" i="7"/>
  <c r="V55" i="7"/>
  <c r="T94" i="7"/>
  <c r="V43" i="7"/>
  <c r="V37" i="7"/>
  <c r="V42" i="7"/>
  <c r="V51" i="7"/>
  <c r="U116" i="7"/>
  <c r="T101" i="7"/>
  <c r="U101" i="7"/>
  <c r="U111" i="7"/>
  <c r="V103" i="7"/>
  <c r="V29" i="7"/>
  <c r="V73" i="7"/>
  <c r="U105" i="7"/>
  <c r="U75" i="7"/>
  <c r="U34" i="7"/>
  <c r="U48" i="7"/>
  <c r="U5" i="7"/>
  <c r="U52" i="7"/>
  <c r="U29" i="7"/>
  <c r="U113" i="7"/>
  <c r="U95" i="7"/>
  <c r="U92" i="7"/>
  <c r="U49" i="7"/>
  <c r="U121" i="7"/>
  <c r="U51" i="7"/>
  <c r="U94" i="7"/>
  <c r="U58" i="7"/>
  <c r="U28" i="7"/>
  <c r="U114" i="7"/>
  <c r="U66" i="7"/>
  <c r="U96" i="7"/>
  <c r="U126" i="7"/>
  <c r="U16" i="7"/>
  <c r="U39" i="7"/>
  <c r="U74" i="7"/>
  <c r="U9" i="7"/>
  <c r="U45" i="7"/>
  <c r="U106" i="7"/>
  <c r="U63" i="7"/>
  <c r="U54" i="7"/>
  <c r="U119" i="7"/>
  <c r="U104" i="7"/>
  <c r="U110" i="7"/>
  <c r="U62" i="7"/>
  <c r="U44" i="7"/>
  <c r="U60" i="7"/>
  <c r="U82" i="7"/>
  <c r="U117" i="7"/>
  <c r="U27" i="7"/>
  <c r="T2" i="7"/>
  <c r="U125" i="7"/>
  <c r="U67" i="7"/>
  <c r="U73" i="7"/>
  <c r="U40" i="7"/>
  <c r="U76" i="7"/>
  <c r="U53" i="7"/>
  <c r="U50" i="7"/>
  <c r="U97" i="7"/>
  <c r="U65" i="7"/>
  <c r="U103" i="7"/>
  <c r="U20" i="7"/>
  <c r="U38" i="7"/>
  <c r="U123" i="7"/>
  <c r="U21" i="7"/>
  <c r="U41" i="7"/>
  <c r="U46" i="7"/>
  <c r="U17" i="7"/>
  <c r="U115" i="7"/>
  <c r="U98" i="7"/>
  <c r="U81" i="7"/>
  <c r="U36" i="7"/>
  <c r="U69" i="7"/>
  <c r="U23" i="7"/>
  <c r="U124" i="7"/>
  <c r="U43" i="7"/>
  <c r="U72" i="7"/>
  <c r="U22" i="7"/>
  <c r="U37" i="7"/>
  <c r="U107" i="7"/>
  <c r="U30" i="7"/>
  <c r="U122" i="7"/>
  <c r="U19" i="7"/>
  <c r="U56" i="7"/>
  <c r="U18" i="7"/>
  <c r="U64" i="7"/>
  <c r="U31" i="7"/>
  <c r="U33" i="7"/>
  <c r="U102" i="7"/>
  <c r="U80" i="7"/>
  <c r="U42" i="7"/>
  <c r="T120" i="7"/>
  <c r="U10" i="7"/>
  <c r="U91" i="7"/>
  <c r="U87" i="7"/>
  <c r="U15" i="7"/>
  <c r="U11" i="7"/>
  <c r="U88" i="7"/>
  <c r="U12" i="7"/>
  <c r="U89" i="7"/>
  <c r="U86" i="7"/>
  <c r="U13" i="7"/>
  <c r="U14" i="7"/>
  <c r="U8" i="7"/>
  <c r="U32" i="7"/>
  <c r="U6" i="7"/>
  <c r="U83" i="7"/>
  <c r="U61" i="7"/>
  <c r="U35" i="7"/>
  <c r="U112" i="7"/>
  <c r="U59" i="7"/>
  <c r="U57" i="7"/>
  <c r="U77" i="7"/>
  <c r="U68" i="7"/>
  <c r="U84" i="7"/>
  <c r="U118" i="7"/>
  <c r="U79" i="7"/>
  <c r="U25" i="7"/>
  <c r="U78" i="7"/>
  <c r="U99" i="7"/>
  <c r="U47" i="7"/>
  <c r="U108" i="7"/>
  <c r="U55" i="7"/>
  <c r="U24" i="7"/>
  <c r="U100" i="7"/>
  <c r="U26" i="7"/>
  <c r="U71" i="7"/>
  <c r="U70" i="7"/>
  <c r="U93" i="7"/>
  <c r="V101" i="7"/>
  <c r="T60" i="7"/>
  <c r="V96" i="7"/>
  <c r="V70" i="7"/>
  <c r="T95" i="7"/>
  <c r="T43" i="7"/>
  <c r="T109" i="7"/>
  <c r="T121" i="7"/>
  <c r="T75" i="7"/>
  <c r="V76" i="7"/>
  <c r="T111" i="7"/>
  <c r="V9" i="7"/>
  <c r="T48" i="7"/>
  <c r="V26" i="7"/>
  <c r="V72" i="7"/>
  <c r="T19" i="7"/>
  <c r="T6" i="7"/>
  <c r="T40" i="7"/>
  <c r="T83" i="7"/>
  <c r="T55" i="7"/>
  <c r="T36" i="7"/>
  <c r="T84" i="7"/>
  <c r="T37" i="7"/>
  <c r="T62" i="7"/>
  <c r="T44" i="7"/>
  <c r="T46" i="7"/>
  <c r="V102" i="7"/>
  <c r="V119" i="7"/>
  <c r="V99" i="7"/>
  <c r="V104" i="7"/>
  <c r="V74" i="7"/>
  <c r="T51" i="7"/>
  <c r="T81" i="7"/>
  <c r="V118" i="7"/>
  <c r="V114" i="7"/>
  <c r="V36" i="7"/>
  <c r="V62" i="7"/>
  <c r="V100" i="7"/>
  <c r="T77" i="7"/>
  <c r="T96" i="7"/>
  <c r="T50" i="7"/>
  <c r="T20" i="7"/>
  <c r="V123" i="7"/>
  <c r="V66" i="7"/>
  <c r="T82" i="7"/>
  <c r="T72" i="7"/>
  <c r="V125" i="7"/>
  <c r="V8" i="7"/>
  <c r="V105" i="7"/>
  <c r="V67" i="7"/>
  <c r="V32" i="7"/>
  <c r="T70" i="7"/>
  <c r="T73" i="7"/>
  <c r="V79" i="7"/>
  <c r="T102" i="7"/>
  <c r="T26" i="7"/>
  <c r="U2" i="7"/>
  <c r="V2" i="7"/>
  <c r="V95" i="7"/>
  <c r="V19" i="7"/>
  <c r="V92" i="7"/>
  <c r="T74" i="7"/>
  <c r="T117" i="7"/>
  <c r="T16" i="7"/>
  <c r="V109" i="7"/>
  <c r="V111" i="7"/>
  <c r="V122" i="7"/>
  <c r="T114" i="7"/>
  <c r="V6" i="7"/>
  <c r="T47" i="7"/>
  <c r="T18" i="7"/>
  <c r="V97" i="7"/>
  <c r="V20" i="7"/>
  <c r="V65" i="7"/>
  <c r="T66" i="7"/>
  <c r="T45" i="7"/>
  <c r="V25" i="7"/>
  <c r="T105" i="7"/>
  <c r="V78" i="7"/>
  <c r="T7" i="7"/>
  <c r="V75" i="7"/>
  <c r="T124" i="7"/>
  <c r="T76" i="7"/>
  <c r="T92" i="7"/>
  <c r="T53" i="7"/>
  <c r="V117" i="7"/>
  <c r="T115" i="7"/>
  <c r="T108" i="7"/>
  <c r="V60" i="7"/>
  <c r="T110" i="7"/>
  <c r="V18" i="7"/>
  <c r="T3" i="7"/>
  <c r="V84" i="7"/>
  <c r="T31" i="7"/>
  <c r="T27" i="7"/>
  <c r="T41" i="7"/>
  <c r="V106" i="7"/>
  <c r="T78" i="7"/>
  <c r="T63" i="7"/>
  <c r="T17" i="7"/>
  <c r="V7" i="7"/>
  <c r="T54" i="7"/>
  <c r="T112" i="7"/>
  <c r="T9" i="7"/>
  <c r="T28" i="7"/>
  <c r="T71" i="7"/>
  <c r="T122" i="7"/>
  <c r="T93" i="7"/>
  <c r="V108" i="7"/>
  <c r="T69" i="7"/>
  <c r="U4" i="7"/>
  <c r="V110" i="7"/>
  <c r="T97" i="7"/>
  <c r="U3" i="7"/>
  <c r="T65" i="7"/>
  <c r="V31" i="7"/>
  <c r="V27" i="7"/>
  <c r="T21" i="7"/>
  <c r="T25" i="7"/>
  <c r="T30" i="7"/>
  <c r="V63" i="7"/>
  <c r="V124" i="7"/>
  <c r="T22" i="7"/>
  <c r="V28" i="7"/>
  <c r="V83" i="7"/>
  <c r="V115" i="7"/>
  <c r="V71" i="7"/>
  <c r="T103" i="7"/>
  <c r="V93" i="7"/>
  <c r="T61" i="7"/>
  <c r="V126" i="7"/>
  <c r="V69" i="7"/>
  <c r="T4" i="7"/>
  <c r="T35" i="7"/>
  <c r="V57" i="7"/>
  <c r="V3" i="7"/>
  <c r="T42" i="7"/>
  <c r="T23" i="7"/>
  <c r="T59" i="7"/>
  <c r="T24" i="7"/>
  <c r="V21" i="7"/>
  <c r="T107" i="7"/>
  <c r="T106" i="7"/>
  <c r="V30" i="7"/>
  <c r="T116" i="7"/>
  <c r="T80" i="7"/>
  <c r="V58" i="7"/>
  <c r="V112" i="7"/>
  <c r="V22" i="7"/>
  <c r="V10" i="7"/>
  <c r="V91" i="7"/>
  <c r="T89" i="7"/>
  <c r="V11" i="7"/>
  <c r="T10" i="7"/>
  <c r="T90" i="7"/>
  <c r="V12" i="7"/>
  <c r="V85" i="7"/>
  <c r="T11" i="7"/>
  <c r="V14" i="7"/>
  <c r="V87" i="7"/>
  <c r="T13" i="7"/>
  <c r="T85" i="7"/>
  <c r="V13" i="7"/>
  <c r="V86" i="7"/>
  <c r="V15" i="7"/>
  <c r="V88" i="7"/>
  <c r="T14" i="7"/>
  <c r="T86" i="7"/>
  <c r="V89" i="7"/>
  <c r="T15" i="7"/>
  <c r="T87" i="7"/>
  <c r="T91" i="7"/>
  <c r="V90" i="7"/>
  <c r="T88" i="7"/>
  <c r="T12" i="7"/>
  <c r="V5" i="7"/>
  <c r="V98" i="7"/>
  <c r="V34" i="7"/>
  <c r="V33" i="7"/>
  <c r="T68" i="7"/>
  <c r="T56" i="7"/>
  <c r="V61" i="7"/>
  <c r="V4" i="7"/>
  <c r="V35" i="7"/>
  <c r="V23" i="7"/>
  <c r="V82" i="7"/>
  <c r="V59" i="7"/>
  <c r="V24" i="7"/>
  <c r="V107" i="7"/>
  <c r="T52" i="7"/>
  <c r="V116" i="7"/>
  <c r="V113" i="7"/>
  <c r="V94" i="7"/>
  <c r="V80" i="7"/>
  <c r="T39" i="7"/>
  <c r="V120" i="7"/>
  <c r="T34" i="7"/>
  <c r="T64" i="7"/>
  <c r="T119" i="7"/>
  <c r="T98" i="7"/>
  <c r="T99" i="7"/>
  <c r="T104" i="7"/>
  <c r="T33" i="7"/>
  <c r="V64" i="7"/>
  <c r="V68" i="7"/>
  <c r="V81" i="7"/>
  <c r="T118" i="7"/>
  <c r="T100" i="7"/>
  <c r="T49" i="7"/>
  <c r="V121" i="7"/>
  <c r="T57" i="7"/>
  <c r="T123" i="7"/>
  <c r="T38" i="7"/>
  <c r="T125" i="7"/>
  <c r="T8" i="7"/>
  <c r="T67" i="7"/>
  <c r="T32" i="7"/>
  <c r="T29" i="7"/>
  <c r="T79" i="7"/>
  <c r="T113" i="7"/>
  <c r="T58" i="7"/>
  <c r="W127" i="7" l="1"/>
  <c r="T132" i="7"/>
  <c r="T131" i="7"/>
  <c r="AT132" i="7"/>
  <c r="AT131" i="7"/>
  <c r="V131" i="7"/>
  <c r="V132" i="7"/>
  <c r="U132" i="7"/>
  <c r="U131" i="7"/>
  <c r="W48" i="7"/>
  <c r="W2" i="7"/>
  <c r="W89" i="7"/>
  <c r="W94" i="7"/>
  <c r="W106" i="7"/>
  <c r="W47" i="7"/>
  <c r="W44" i="7"/>
  <c r="W39" i="7"/>
  <c r="W96" i="7"/>
  <c r="W32" i="7"/>
  <c r="W58" i="7"/>
  <c r="W45" i="7"/>
  <c r="W98" i="7"/>
  <c r="W77" i="7"/>
  <c r="W26" i="7"/>
  <c r="W34" i="7"/>
  <c r="W16" i="7"/>
  <c r="W104" i="7"/>
  <c r="W53" i="7"/>
  <c r="W76" i="7"/>
  <c r="W101" i="7"/>
  <c r="W105" i="7"/>
  <c r="W74" i="7"/>
  <c r="W63" i="7"/>
  <c r="W117" i="7"/>
  <c r="W126" i="7"/>
  <c r="W103" i="7"/>
  <c r="W40" i="7"/>
  <c r="W25" i="7"/>
  <c r="W6" i="7"/>
  <c r="W102" i="7"/>
  <c r="W66" i="7"/>
  <c r="W20" i="7"/>
  <c r="W79" i="7"/>
  <c r="W125" i="7"/>
  <c r="W41" i="7"/>
  <c r="W72" i="7"/>
  <c r="W38" i="7"/>
  <c r="W114" i="7"/>
  <c r="W18" i="7"/>
  <c r="W119" i="7"/>
  <c r="W22" i="7"/>
  <c r="W30" i="7"/>
  <c r="W9" i="7"/>
  <c r="W54" i="7"/>
  <c r="W95" i="7"/>
  <c r="W55" i="7"/>
  <c r="W17" i="7"/>
  <c r="W73" i="7"/>
  <c r="W100" i="7"/>
  <c r="W70" i="7"/>
  <c r="W92" i="7"/>
  <c r="W97" i="7"/>
  <c r="W62" i="7"/>
  <c r="W118" i="7"/>
  <c r="W31" i="7"/>
  <c r="W11" i="7"/>
  <c r="W12" i="7"/>
  <c r="W10" i="7"/>
  <c r="W15" i="7"/>
  <c r="W67" i="7"/>
  <c r="W99" i="7"/>
  <c r="W109" i="7"/>
  <c r="W82" i="7"/>
  <c r="W85" i="7"/>
  <c r="W80" i="7"/>
  <c r="W3" i="7"/>
  <c r="W61" i="7"/>
  <c r="W46" i="7"/>
  <c r="W65" i="7"/>
  <c r="W69" i="7"/>
  <c r="W51" i="7"/>
  <c r="W71" i="7"/>
  <c r="W90" i="7"/>
  <c r="W113" i="7"/>
  <c r="W107" i="7"/>
  <c r="W124" i="7"/>
  <c r="W8" i="7"/>
  <c r="W49" i="7"/>
  <c r="W7" i="7"/>
  <c r="W24" i="7"/>
  <c r="W50" i="7"/>
  <c r="W33" i="7"/>
  <c r="W87" i="7"/>
  <c r="W110" i="7"/>
  <c r="W35" i="7"/>
  <c r="W43" i="7"/>
  <c r="W28" i="7"/>
  <c r="W64" i="7"/>
  <c r="W29" i="7"/>
  <c r="W68" i="7"/>
  <c r="W59" i="7"/>
  <c r="W115" i="7"/>
  <c r="W93" i="7"/>
  <c r="W56" i="7"/>
  <c r="W5" i="7"/>
  <c r="W60" i="7"/>
  <c r="W81" i="7"/>
  <c r="W123" i="7"/>
  <c r="W88" i="7"/>
  <c r="W78" i="7"/>
  <c r="W4" i="7"/>
  <c r="W21" i="7"/>
  <c r="W122" i="7"/>
  <c r="W83" i="7"/>
  <c r="W84" i="7"/>
  <c r="W108" i="7"/>
  <c r="W75" i="7"/>
  <c r="W121" i="7"/>
  <c r="W120" i="7"/>
  <c r="W116" i="7"/>
  <c r="W23" i="7"/>
  <c r="W57" i="7"/>
  <c r="W13" i="7"/>
  <c r="W86" i="7"/>
  <c r="W112" i="7"/>
  <c r="W111" i="7"/>
  <c r="W19" i="7"/>
  <c r="W37" i="7"/>
  <c r="W36" i="7"/>
  <c r="W91" i="7"/>
  <c r="W14" i="7"/>
  <c r="W52" i="7"/>
  <c r="W42" i="7"/>
  <c r="W27" i="7"/>
  <c r="W131" i="7" l="1"/>
  <c r="X127" i="7" s="1"/>
  <c r="W132" i="7"/>
  <c r="AB127" i="7" l="1"/>
  <c r="AU127" i="7" s="1"/>
  <c r="BF127" i="7" s="1"/>
  <c r="X48" i="7"/>
  <c r="AB48" i="7" s="1"/>
  <c r="AU48" i="7" s="1"/>
  <c r="BF48" i="7" s="1"/>
  <c r="X19" i="7"/>
  <c r="AB19" i="7" s="1"/>
  <c r="AU19" i="7" s="1"/>
  <c r="BF19" i="7" s="1"/>
  <c r="X2" i="7"/>
  <c r="X11" i="7"/>
  <c r="AB11" i="7" s="1"/>
  <c r="AU11" i="7" s="1"/>
  <c r="BF11" i="7" s="1"/>
  <c r="X52" i="7"/>
  <c r="AB52" i="7" s="1"/>
  <c r="AU52" i="7" s="1"/>
  <c r="BF52" i="7" s="1"/>
  <c r="X104" i="7"/>
  <c r="AB104" i="7" s="1"/>
  <c r="AU104" i="7" s="1"/>
  <c r="BF104" i="7" s="1"/>
  <c r="X107" i="7"/>
  <c r="AB107" i="7" s="1"/>
  <c r="AU107" i="7" s="1"/>
  <c r="BF107" i="7" s="1"/>
  <c r="X115" i="7"/>
  <c r="AB115" i="7" s="1"/>
  <c r="AU115" i="7" s="1"/>
  <c r="BF115" i="7" s="1"/>
  <c r="X17" i="7"/>
  <c r="AB17" i="7" s="1"/>
  <c r="AU17" i="7" s="1"/>
  <c r="BF17" i="7" s="1"/>
  <c r="X125" i="7"/>
  <c r="AB125" i="7" s="1"/>
  <c r="AU125" i="7" s="1"/>
  <c r="BF125" i="7" s="1"/>
  <c r="X111" i="7"/>
  <c r="AB111" i="7" s="1"/>
  <c r="AU111" i="7" s="1"/>
  <c r="BF111" i="7" s="1"/>
  <c r="X90" i="7"/>
  <c r="AB90" i="7" s="1"/>
  <c r="AU90" i="7" s="1"/>
  <c r="BF90" i="7" s="1"/>
  <c r="X99" i="7"/>
  <c r="AB99" i="7" s="1"/>
  <c r="AU99" i="7" s="1"/>
  <c r="BF99" i="7" s="1"/>
  <c r="X97" i="7"/>
  <c r="AB97" i="7" s="1"/>
  <c r="AU97" i="7" s="1"/>
  <c r="BF97" i="7" s="1"/>
  <c r="X31" i="7"/>
  <c r="X54" i="7"/>
  <c r="AB54" i="7" s="1"/>
  <c r="AU54" i="7" s="1"/>
  <c r="BF54" i="7" s="1"/>
  <c r="X114" i="7"/>
  <c r="AB114" i="7" s="1"/>
  <c r="AU114" i="7" s="1"/>
  <c r="BF114" i="7" s="1"/>
  <c r="X83" i="7"/>
  <c r="AB83" i="7" s="1"/>
  <c r="AU83" i="7" s="1"/>
  <c r="BF83" i="7" s="1"/>
  <c r="X15" i="7"/>
  <c r="AB15" i="7" s="1"/>
  <c r="AU15" i="7" s="1"/>
  <c r="BF15" i="7" s="1"/>
  <c r="X110" i="7"/>
  <c r="AB110" i="7" s="1"/>
  <c r="AU110" i="7" s="1"/>
  <c r="BF110" i="7" s="1"/>
  <c r="X25" i="7"/>
  <c r="AB25" i="7" s="1"/>
  <c r="AU25" i="7" s="1"/>
  <c r="BF25" i="7" s="1"/>
  <c r="X61" i="7"/>
  <c r="AB61" i="7" s="1"/>
  <c r="AU61" i="7" s="1"/>
  <c r="BF61" i="7" s="1"/>
  <c r="X124" i="7"/>
  <c r="AB124" i="7" s="1"/>
  <c r="AU124" i="7" s="1"/>
  <c r="BF124" i="7" s="1"/>
  <c r="X23" i="7"/>
  <c r="AB23" i="7" s="1"/>
  <c r="AU23" i="7" s="1"/>
  <c r="BF23" i="7" s="1"/>
  <c r="X103" i="7"/>
  <c r="AB103" i="7" s="1"/>
  <c r="AU103" i="7" s="1"/>
  <c r="BF103" i="7" s="1"/>
  <c r="X78" i="7"/>
  <c r="AB78" i="7" s="1"/>
  <c r="AU78" i="7" s="1"/>
  <c r="BF78" i="7" s="1"/>
  <c r="X66" i="7"/>
  <c r="AB66" i="7" s="1"/>
  <c r="AU66" i="7" s="1"/>
  <c r="BF66" i="7" s="1"/>
  <c r="X92" i="7"/>
  <c r="AB92" i="7" s="1"/>
  <c r="AU92" i="7" s="1"/>
  <c r="BF92" i="7" s="1"/>
  <c r="X96" i="7"/>
  <c r="AB96" i="7" s="1"/>
  <c r="AU96" i="7" s="1"/>
  <c r="BF96" i="7" s="1"/>
  <c r="X3" i="7"/>
  <c r="AB3" i="7" s="1"/>
  <c r="AU3" i="7" s="1"/>
  <c r="BF3" i="7" s="1"/>
  <c r="X27" i="7"/>
  <c r="AB27" i="7" s="1"/>
  <c r="AU27" i="7" s="1"/>
  <c r="BF27" i="7" s="1"/>
  <c r="X126" i="7"/>
  <c r="AB126" i="7" s="1"/>
  <c r="AU126" i="7" s="1"/>
  <c r="BF126" i="7" s="1"/>
  <c r="X87" i="7"/>
  <c r="AB87" i="7" s="1"/>
  <c r="AU87" i="7" s="1"/>
  <c r="BF87" i="7" s="1"/>
  <c r="X121" i="7"/>
  <c r="AB121" i="7" s="1"/>
  <c r="AU121" i="7" s="1"/>
  <c r="BF121" i="7" s="1"/>
  <c r="X80" i="7"/>
  <c r="AB80" i="7" s="1"/>
  <c r="AU80" i="7" s="1"/>
  <c r="BF80" i="7" s="1"/>
  <c r="X30" i="7"/>
  <c r="AB30" i="7" s="1"/>
  <c r="AU30" i="7" s="1"/>
  <c r="BF30" i="7" s="1"/>
  <c r="X43" i="7"/>
  <c r="AB43" i="7" s="1"/>
  <c r="AU43" i="7" s="1"/>
  <c r="BF43" i="7" s="1"/>
  <c r="X13" i="7"/>
  <c r="AB13" i="7" s="1"/>
  <c r="X65" i="7"/>
  <c r="AB65" i="7" s="1"/>
  <c r="AU65" i="7" s="1"/>
  <c r="BF65" i="7" s="1"/>
  <c r="X49" i="7"/>
  <c r="AB49" i="7" s="1"/>
  <c r="AU49" i="7" s="1"/>
  <c r="BF49" i="7" s="1"/>
  <c r="X50" i="7"/>
  <c r="AB50" i="7" s="1"/>
  <c r="AU50" i="7" s="1"/>
  <c r="BF50" i="7" s="1"/>
  <c r="X29" i="7"/>
  <c r="AB29" i="7" s="1"/>
  <c r="AU29" i="7" s="1"/>
  <c r="BF29" i="7" s="1"/>
  <c r="X55" i="7"/>
  <c r="AB55" i="7" s="1"/>
  <c r="AU55" i="7" s="1"/>
  <c r="BF55" i="7" s="1"/>
  <c r="X57" i="7"/>
  <c r="AB57" i="7" s="1"/>
  <c r="AU57" i="7" s="1"/>
  <c r="BF57" i="7" s="1"/>
  <c r="X108" i="7"/>
  <c r="AB108" i="7" s="1"/>
  <c r="AU108" i="7" s="1"/>
  <c r="BF108" i="7" s="1"/>
  <c r="X53" i="7"/>
  <c r="AB53" i="7" s="1"/>
  <c r="AU53" i="7" s="1"/>
  <c r="BF53" i="7" s="1"/>
  <c r="X120" i="7"/>
  <c r="AB120" i="7" s="1"/>
  <c r="AU120" i="7" s="1"/>
  <c r="BF120" i="7" s="1"/>
  <c r="X74" i="7"/>
  <c r="AB74" i="7" s="1"/>
  <c r="AU74" i="7" s="1"/>
  <c r="BF74" i="7" s="1"/>
  <c r="X60" i="7"/>
  <c r="AB60" i="7" s="1"/>
  <c r="AU60" i="7" s="1"/>
  <c r="BF60" i="7" s="1"/>
  <c r="X113" i="7"/>
  <c r="AB113" i="7" s="1"/>
  <c r="AU113" i="7" s="1"/>
  <c r="BF113" i="7" s="1"/>
  <c r="X109" i="7"/>
  <c r="AB109" i="7" s="1"/>
  <c r="AU109" i="7" s="1"/>
  <c r="BF109" i="7" s="1"/>
  <c r="X79" i="7"/>
  <c r="AB79" i="7" s="1"/>
  <c r="AU79" i="7" s="1"/>
  <c r="BF79" i="7" s="1"/>
  <c r="X59" i="7"/>
  <c r="AB59" i="7" s="1"/>
  <c r="AU59" i="7" s="1"/>
  <c r="BF59" i="7" s="1"/>
  <c r="X69" i="7"/>
  <c r="AB69" i="7" s="1"/>
  <c r="AU69" i="7" s="1"/>
  <c r="BF69" i="7" s="1"/>
  <c r="X81" i="7"/>
  <c r="AB81" i="7" s="1"/>
  <c r="AU81" i="7" s="1"/>
  <c r="BF81" i="7" s="1"/>
  <c r="X70" i="7"/>
  <c r="AB70" i="7" s="1"/>
  <c r="AU70" i="7" s="1"/>
  <c r="BF70" i="7" s="1"/>
  <c r="X37" i="7"/>
  <c r="AB37" i="7" s="1"/>
  <c r="AU37" i="7" s="1"/>
  <c r="BF37" i="7" s="1"/>
  <c r="X45" i="7"/>
  <c r="X8" i="7"/>
  <c r="AB8" i="7" s="1"/>
  <c r="AU8" i="7" s="1"/>
  <c r="BF8" i="7" s="1"/>
  <c r="X116" i="7"/>
  <c r="AB116" i="7" s="1"/>
  <c r="AU116" i="7" s="1"/>
  <c r="BF116" i="7" s="1"/>
  <c r="X84" i="7"/>
  <c r="AB84" i="7" s="1"/>
  <c r="AU84" i="7" s="1"/>
  <c r="BF84" i="7" s="1"/>
  <c r="X14" i="7"/>
  <c r="AB14" i="7" s="1"/>
  <c r="AU14" i="7" s="1"/>
  <c r="BF14" i="7" s="1"/>
  <c r="X118" i="7"/>
  <c r="AB118" i="7" s="1"/>
  <c r="AU118" i="7" s="1"/>
  <c r="BF118" i="7" s="1"/>
  <c r="X91" i="7"/>
  <c r="AB91" i="7" s="1"/>
  <c r="AU91" i="7" s="1"/>
  <c r="BF91" i="7" s="1"/>
  <c r="X32" i="7"/>
  <c r="AB32" i="7" s="1"/>
  <c r="AU32" i="7" s="1"/>
  <c r="BF32" i="7" s="1"/>
  <c r="X28" i="7"/>
  <c r="AB28" i="7" s="1"/>
  <c r="AU28" i="7" s="1"/>
  <c r="BF28" i="7" s="1"/>
  <c r="X9" i="7"/>
  <c r="X64" i="7"/>
  <c r="AB64" i="7" s="1"/>
  <c r="AU64" i="7" s="1"/>
  <c r="BF64" i="7" s="1"/>
  <c r="X73" i="7"/>
  <c r="AB73" i="7" s="1"/>
  <c r="AU73" i="7" s="1"/>
  <c r="BF73" i="7" s="1"/>
  <c r="X102" i="7"/>
  <c r="AB102" i="7" s="1"/>
  <c r="AU102" i="7" s="1"/>
  <c r="BF102" i="7" s="1"/>
  <c r="X16" i="7"/>
  <c r="AB16" i="7" s="1"/>
  <c r="X33" i="7"/>
  <c r="AB33" i="7" s="1"/>
  <c r="AU33" i="7" s="1"/>
  <c r="BF33" i="7" s="1"/>
  <c r="X56" i="7"/>
  <c r="AB56" i="7" s="1"/>
  <c r="AU56" i="7" s="1"/>
  <c r="BF56" i="7" s="1"/>
  <c r="X22" i="7"/>
  <c r="AB22" i="7" s="1"/>
  <c r="AU22" i="7" s="1"/>
  <c r="BF22" i="7" s="1"/>
  <c r="X88" i="7"/>
  <c r="AB88" i="7" s="1"/>
  <c r="AU88" i="7" s="1"/>
  <c r="BF88" i="7" s="1"/>
  <c r="X21" i="7"/>
  <c r="AB21" i="7" s="1"/>
  <c r="AU21" i="7" s="1"/>
  <c r="BF21" i="7" s="1"/>
  <c r="X94" i="7"/>
  <c r="AB94" i="7" s="1"/>
  <c r="AU94" i="7" s="1"/>
  <c r="BF94" i="7" s="1"/>
  <c r="X10" i="7"/>
  <c r="AB10" i="7" s="1"/>
  <c r="AU10" i="7" s="1"/>
  <c r="BF10" i="7" s="1"/>
  <c r="X38" i="7"/>
  <c r="AB38" i="7" s="1"/>
  <c r="AU38" i="7" s="1"/>
  <c r="BF38" i="7" s="1"/>
  <c r="X76" i="7"/>
  <c r="AB76" i="7" s="1"/>
  <c r="AU76" i="7" s="1"/>
  <c r="BF76" i="7" s="1"/>
  <c r="X35" i="7"/>
  <c r="AB35" i="7" s="1"/>
  <c r="AU35" i="7" s="1"/>
  <c r="BF35" i="7" s="1"/>
  <c r="X6" i="7"/>
  <c r="AB6" i="7" s="1"/>
  <c r="AU6" i="7" s="1"/>
  <c r="BF6" i="7" s="1"/>
  <c r="X106" i="7"/>
  <c r="AB106" i="7" s="1"/>
  <c r="AU106" i="7" s="1"/>
  <c r="BF106" i="7" s="1"/>
  <c r="X47" i="7"/>
  <c r="AB47" i="7" s="1"/>
  <c r="AU47" i="7" s="1"/>
  <c r="BF47" i="7" s="1"/>
  <c r="X85" i="7"/>
  <c r="AB85" i="7" s="1"/>
  <c r="AU85" i="7" s="1"/>
  <c r="BF85" i="7" s="1"/>
  <c r="X39" i="7"/>
  <c r="AB39" i="7" s="1"/>
  <c r="AU39" i="7" s="1"/>
  <c r="BF39" i="7" s="1"/>
  <c r="X119" i="7"/>
  <c r="AB119" i="7" s="1"/>
  <c r="AU119" i="7" s="1"/>
  <c r="BF119" i="7" s="1"/>
  <c r="X42" i="7"/>
  <c r="AB42" i="7" s="1"/>
  <c r="AU42" i="7" s="1"/>
  <c r="BF42" i="7" s="1"/>
  <c r="X122" i="7"/>
  <c r="AB122" i="7" s="1"/>
  <c r="AU122" i="7" s="1"/>
  <c r="BF122" i="7" s="1"/>
  <c r="X5" i="7"/>
  <c r="AB5" i="7" s="1"/>
  <c r="AU5" i="7" s="1"/>
  <c r="BF5" i="7" s="1"/>
  <c r="X86" i="7"/>
  <c r="AB86" i="7" s="1"/>
  <c r="AU86" i="7" s="1"/>
  <c r="BF86" i="7" s="1"/>
  <c r="X36" i="7"/>
  <c r="AB36" i="7" s="1"/>
  <c r="AU36" i="7" s="1"/>
  <c r="BF36" i="7" s="1"/>
  <c r="X117" i="7"/>
  <c r="AB117" i="7" s="1"/>
  <c r="AU117" i="7" s="1"/>
  <c r="BF117" i="7" s="1"/>
  <c r="X68" i="7"/>
  <c r="AB68" i="7" s="1"/>
  <c r="AU68" i="7" s="1"/>
  <c r="BF68" i="7" s="1"/>
  <c r="X77" i="7"/>
  <c r="AB77" i="7" s="1"/>
  <c r="AU77" i="7" s="1"/>
  <c r="BF77" i="7" s="1"/>
  <c r="X100" i="7"/>
  <c r="AB100" i="7" s="1"/>
  <c r="AU100" i="7" s="1"/>
  <c r="BF100" i="7" s="1"/>
  <c r="X75" i="7"/>
  <c r="AB75" i="7" s="1"/>
  <c r="AU75" i="7" s="1"/>
  <c r="BF75" i="7" s="1"/>
  <c r="X105" i="7"/>
  <c r="AB105" i="7" s="1"/>
  <c r="AU105" i="7" s="1"/>
  <c r="BF105" i="7" s="1"/>
  <c r="X58" i="7"/>
  <c r="AB58" i="7" s="1"/>
  <c r="AU58" i="7" s="1"/>
  <c r="BF58" i="7" s="1"/>
  <c r="X67" i="7"/>
  <c r="AB67" i="7" s="1"/>
  <c r="AU67" i="7" s="1"/>
  <c r="BF67" i="7" s="1"/>
  <c r="X62" i="7"/>
  <c r="AB62" i="7" s="1"/>
  <c r="AU62" i="7" s="1"/>
  <c r="BF62" i="7" s="1"/>
  <c r="X40" i="7"/>
  <c r="AB40" i="7" s="1"/>
  <c r="AU40" i="7" s="1"/>
  <c r="BF40" i="7" s="1"/>
  <c r="X93" i="7"/>
  <c r="AB93" i="7" s="1"/>
  <c r="AU93" i="7" s="1"/>
  <c r="BF93" i="7" s="1"/>
  <c r="X95" i="7"/>
  <c r="AB95" i="7" s="1"/>
  <c r="AU95" i="7" s="1"/>
  <c r="BF95" i="7" s="1"/>
  <c r="X98" i="7"/>
  <c r="AB98" i="7" s="1"/>
  <c r="AU98" i="7" s="1"/>
  <c r="BF98" i="7" s="1"/>
  <c r="X44" i="7"/>
  <c r="AB44" i="7" s="1"/>
  <c r="AU44" i="7" s="1"/>
  <c r="BF44" i="7" s="1"/>
  <c r="X71" i="7"/>
  <c r="AB71" i="7" s="1"/>
  <c r="AU71" i="7" s="1"/>
  <c r="BF71" i="7" s="1"/>
  <c r="X34" i="7"/>
  <c r="AB34" i="7" s="1"/>
  <c r="AU34" i="7" s="1"/>
  <c r="BF34" i="7" s="1"/>
  <c r="X72" i="7"/>
  <c r="AB72" i="7" s="1"/>
  <c r="AU72" i="7" s="1"/>
  <c r="BF72" i="7" s="1"/>
  <c r="X20" i="7"/>
  <c r="AB20" i="7" s="1"/>
  <c r="AU20" i="7" s="1"/>
  <c r="BF20" i="7" s="1"/>
  <c r="X123" i="7"/>
  <c r="AB123" i="7" s="1"/>
  <c r="AU123" i="7" s="1"/>
  <c r="BF123" i="7" s="1"/>
  <c r="X89" i="7"/>
  <c r="AB89" i="7" s="1"/>
  <c r="AU89" i="7" s="1"/>
  <c r="BF89" i="7" s="1"/>
  <c r="X12" i="7"/>
  <c r="AB12" i="7" s="1"/>
  <c r="AU12" i="7" s="1"/>
  <c r="BF12" i="7" s="1"/>
  <c r="X112" i="7"/>
  <c r="AB112" i="7" s="1"/>
  <c r="AU112" i="7" s="1"/>
  <c r="BF112" i="7" s="1"/>
  <c r="X82" i="7"/>
  <c r="AB82" i="7" s="1"/>
  <c r="AU82" i="7" s="1"/>
  <c r="BF82" i="7" s="1"/>
  <c r="X46" i="7"/>
  <c r="AB46" i="7" s="1"/>
  <c r="AU46" i="7" s="1"/>
  <c r="BF46" i="7" s="1"/>
  <c r="X7" i="7"/>
  <c r="AB7" i="7" s="1"/>
  <c r="AU7" i="7" s="1"/>
  <c r="BF7" i="7" s="1"/>
  <c r="X41" i="7"/>
  <c r="AB41" i="7" s="1"/>
  <c r="AU41" i="7" s="1"/>
  <c r="BF41" i="7" s="1"/>
  <c r="X4" i="7"/>
  <c r="AB4" i="7" s="1"/>
  <c r="AU4" i="7" s="1"/>
  <c r="BF4" i="7" s="1"/>
  <c r="X51" i="7"/>
  <c r="AB51" i="7" s="1"/>
  <c r="AU51" i="7" s="1"/>
  <c r="BF51" i="7" s="1"/>
  <c r="X101" i="7"/>
  <c r="AB101" i="7" s="1"/>
  <c r="AU101" i="7" s="1"/>
  <c r="BF101" i="7" s="1"/>
  <c r="X26" i="7"/>
  <c r="X24" i="7"/>
  <c r="AB24" i="7" s="1"/>
  <c r="AU24" i="7" s="1"/>
  <c r="BF24" i="7" s="1"/>
  <c r="X63" i="7"/>
  <c r="AB63" i="7" s="1"/>
  <c r="AU63" i="7" s="1"/>
  <c r="BF63" i="7" s="1"/>
  <c r="X18" i="7"/>
  <c r="AB18" i="7" s="1"/>
  <c r="AU18" i="7" s="1"/>
  <c r="BF18" i="7" s="1"/>
  <c r="AU13" i="7"/>
  <c r="BF13" i="7" s="1"/>
  <c r="AB26" i="7" l="1"/>
  <c r="AU26" i="7" s="1"/>
  <c r="BF26" i="7" s="1"/>
  <c r="AB45" i="7"/>
  <c r="AU45" i="7" s="1"/>
  <c r="BF45" i="7" s="1"/>
  <c r="AB9" i="7"/>
  <c r="AU9" i="7" s="1"/>
  <c r="BF9" i="7" s="1"/>
  <c r="AU16" i="7"/>
  <c r="BF16" i="7" s="1"/>
  <c r="AB2" i="7"/>
  <c r="AU2" i="7" s="1"/>
  <c r="BF2" i="7" s="1"/>
  <c r="X131" i="7"/>
  <c r="X132" i="7"/>
  <c r="AB31" i="7"/>
  <c r="AU31" i="7" l="1"/>
  <c r="BF31" i="7" s="1"/>
  <c r="AU132" i="7"/>
  <c r="AU131" i="7" l="1"/>
  <c r="BF132" i="7"/>
  <c r="BF131" i="7"/>
  <c r="BG12" i="7" s="1"/>
  <c r="BG127" i="7" l="1"/>
  <c r="BG108" i="7"/>
  <c r="BG5" i="7"/>
  <c r="BG55" i="7"/>
  <c r="BG107" i="7"/>
  <c r="BG36" i="7"/>
  <c r="BG90" i="7"/>
  <c r="BG17" i="7"/>
  <c r="BG59" i="7"/>
  <c r="BG51" i="7"/>
  <c r="BG75" i="7"/>
  <c r="BG34" i="7"/>
  <c r="BG74" i="7"/>
  <c r="BG85" i="7"/>
  <c r="BG29" i="7"/>
  <c r="BG8" i="7"/>
  <c r="BG98" i="7"/>
  <c r="BG82" i="7"/>
  <c r="BG68" i="7"/>
  <c r="BG14" i="7"/>
  <c r="BG26" i="7"/>
  <c r="BG38" i="7"/>
  <c r="BG112" i="7"/>
  <c r="BG61" i="7"/>
  <c r="BG58" i="7"/>
  <c r="BG118" i="7"/>
  <c r="BG48" i="7"/>
  <c r="BG30" i="7"/>
  <c r="BG42" i="7"/>
  <c r="BG77" i="7"/>
  <c r="BG6" i="7"/>
  <c r="BG63" i="7"/>
  <c r="BG49" i="7"/>
  <c r="BG117" i="7"/>
  <c r="BG71" i="7"/>
  <c r="BG24" i="7"/>
  <c r="BG27" i="7"/>
  <c r="BG88" i="7"/>
  <c r="BG99" i="7"/>
  <c r="BG10" i="7"/>
  <c r="BG53" i="7"/>
  <c r="BG25" i="7"/>
  <c r="BG102" i="7"/>
  <c r="BG92" i="7"/>
  <c r="BG83" i="7"/>
  <c r="BG16" i="7"/>
  <c r="BG123" i="7"/>
  <c r="BG46" i="7"/>
  <c r="BG7" i="7"/>
  <c r="BG89" i="7"/>
  <c r="BG57" i="7"/>
  <c r="BG111" i="7"/>
  <c r="BG113" i="7"/>
  <c r="BG87" i="7"/>
  <c r="BG100" i="7"/>
  <c r="BG96" i="7"/>
  <c r="BG73" i="7"/>
  <c r="BG19" i="7"/>
  <c r="BG80" i="7"/>
  <c r="BG125" i="7"/>
  <c r="BG72" i="7"/>
  <c r="BG3" i="7"/>
  <c r="BG37" i="7"/>
  <c r="BG95" i="7"/>
  <c r="BG126" i="7"/>
  <c r="BG122" i="7"/>
  <c r="BG81" i="7"/>
  <c r="BG60" i="7"/>
  <c r="BG86" i="7"/>
  <c r="BG32" i="7"/>
  <c r="BG44" i="7"/>
  <c r="BG33" i="7"/>
  <c r="BG31" i="7"/>
  <c r="BG78" i="7"/>
  <c r="BG105" i="7"/>
  <c r="BG4" i="7"/>
  <c r="BG67" i="7"/>
  <c r="BG45" i="7"/>
  <c r="BG104" i="7"/>
  <c r="BG15" i="7"/>
  <c r="BG43" i="7"/>
  <c r="BG65" i="7"/>
  <c r="BG23" i="7"/>
  <c r="BG50" i="7"/>
  <c r="BG115" i="7"/>
  <c r="BG116" i="7"/>
  <c r="BG121" i="7"/>
  <c r="BG35" i="7"/>
  <c r="BG106" i="7"/>
  <c r="BG11" i="7"/>
  <c r="BG66" i="7"/>
  <c r="BG79" i="7"/>
  <c r="BG120" i="7"/>
  <c r="BG28" i="7"/>
  <c r="BG124" i="7"/>
  <c r="BG39" i="7"/>
  <c r="BG91" i="7"/>
  <c r="BG93" i="7"/>
  <c r="BG114" i="7"/>
  <c r="BG56" i="7"/>
  <c r="BG119" i="7"/>
  <c r="BG22" i="7"/>
  <c r="BG103" i="7"/>
  <c r="BG84" i="7"/>
  <c r="BG21" i="7"/>
  <c r="BG18" i="7"/>
  <c r="BG97" i="7"/>
  <c r="BG62" i="7"/>
  <c r="BG41" i="7"/>
  <c r="BG70" i="7"/>
  <c r="BG13" i="7"/>
  <c r="BG47" i="7"/>
  <c r="BG64" i="7"/>
  <c r="BG69" i="7"/>
  <c r="BG101" i="7"/>
  <c r="BG109" i="7"/>
  <c r="BG54" i="7"/>
  <c r="BG110" i="7"/>
  <c r="BG76" i="7"/>
  <c r="BG52" i="7"/>
  <c r="BG40" i="7"/>
  <c r="BG20" i="7"/>
  <c r="BG9" i="7"/>
  <c r="BG94" i="7"/>
  <c r="BG2" i="7"/>
  <c r="BG131" i="7" l="1"/>
  <c r="BG132" i="7"/>
</calcChain>
</file>

<file path=xl/sharedStrings.xml><?xml version="1.0" encoding="utf-8"?>
<sst xmlns="http://schemas.openxmlformats.org/spreadsheetml/2006/main" count="578" uniqueCount="149">
  <si>
    <t>Медиа канал</t>
  </si>
  <si>
    <t>Формат</t>
  </si>
  <si>
    <t>Факт. длительность</t>
  </si>
  <si>
    <t>Среда</t>
  </si>
  <si>
    <t>Среда + формат</t>
  </si>
  <si>
    <t>Ширина</t>
  </si>
  <si>
    <t>Доля креатива по ширине</t>
  </si>
  <si>
    <t>Ширина креатива</t>
  </si>
  <si>
    <t>Высота</t>
  </si>
  <si>
    <t>Доля креатива по высоте</t>
  </si>
  <si>
    <t>Высота креатива</t>
  </si>
  <si>
    <t>Расстояние</t>
  </si>
  <si>
    <t>Угол по ширине</t>
  </si>
  <si>
    <t>Угол по высоте</t>
  </si>
  <si>
    <t>Площадь углового размера</t>
  </si>
  <si>
    <t>Длит. для полного считывания</t>
  </si>
  <si>
    <t>norm_format</t>
  </si>
  <si>
    <t>norm_fullscreen</t>
  </si>
  <si>
    <t>saturation</t>
  </si>
  <si>
    <t>gigant_plus</t>
  </si>
  <si>
    <t>norm_size</t>
  </si>
  <si>
    <t>effect_decline</t>
  </si>
  <si>
    <t>time_effect</t>
  </si>
  <si>
    <t>norm_time</t>
  </si>
  <si>
    <t>contact_potential</t>
  </si>
  <si>
    <t>VTR</t>
  </si>
  <si>
    <t>Факт. время контакта</t>
  </si>
  <si>
    <t>Доля активного внимания</t>
  </si>
  <si>
    <t>Доля состоявшихся контактов</t>
  </si>
  <si>
    <t>Клаттер в моменте</t>
  </si>
  <si>
    <t>Мультаскинг</t>
  </si>
  <si>
    <t>Активность скроллинга</t>
  </si>
  <si>
    <t>time_realization</t>
  </si>
  <si>
    <t>fact_time_rezlization</t>
  </si>
  <si>
    <t>norm_time_realization</t>
  </si>
  <si>
    <t>norm_active_attention</t>
  </si>
  <si>
    <t>norm_moment_clutter</t>
  </si>
  <si>
    <t>norm_quality_realization</t>
  </si>
  <si>
    <t>norm_total_realization</t>
  </si>
  <si>
    <t>fact_contact_quality</t>
  </si>
  <si>
    <t>Доверие к рекламе</t>
  </si>
  <si>
    <t>Рекламный клаттер</t>
  </si>
  <si>
    <t>trust</t>
  </si>
  <si>
    <t>norm_trust</t>
  </si>
  <si>
    <t>clutter_5-95</t>
  </si>
  <si>
    <t>anti-clutter</t>
  </si>
  <si>
    <t>norm_clutter</t>
  </si>
  <si>
    <t>quality_final</t>
  </si>
  <si>
    <t>norm_quality_final</t>
  </si>
  <si>
    <t>TG</t>
  </si>
  <si>
    <t>Текст</t>
  </si>
  <si>
    <t>Текст+баннер</t>
  </si>
  <si>
    <t>Статика</t>
  </si>
  <si>
    <t>Видео</t>
  </si>
  <si>
    <t>Текст+видео</t>
  </si>
  <si>
    <t>Видео 20</t>
  </si>
  <si>
    <t>Аудио</t>
  </si>
  <si>
    <t>Баннеры</t>
  </si>
  <si>
    <t>Баннер в Smart TV</t>
  </si>
  <si>
    <t>Мини-баннеры</t>
  </si>
  <si>
    <t>Премиум, Fullscreen, брендирование страницы</t>
  </si>
  <si>
    <t>Блогеры</t>
  </si>
  <si>
    <t>Премиум, Другие премиальные форматы</t>
  </si>
  <si>
    <t>Стандарт</t>
  </si>
  <si>
    <t>Диджитал аудио</t>
  </si>
  <si>
    <t>Аудио 30</t>
  </si>
  <si>
    <t>Аудио 25</t>
  </si>
  <si>
    <t>Аудио 20</t>
  </si>
  <si>
    <t>Аудио 15</t>
  </si>
  <si>
    <t>Аудио 10</t>
  </si>
  <si>
    <t>Аудио 5</t>
  </si>
  <si>
    <t>Индор</t>
  </si>
  <si>
    <t>ВУЗы</t>
  </si>
  <si>
    <t>Метро</t>
  </si>
  <si>
    <t>Супермаркеты</t>
  </si>
  <si>
    <t>ТЦ</t>
  </si>
  <si>
    <t>Инфлюенсеры</t>
  </si>
  <si>
    <t>Альт-ролл</t>
  </si>
  <si>
    <t>Блогеры 30</t>
  </si>
  <si>
    <t>Блогеры 25</t>
  </si>
  <si>
    <t>Блогеры 20</t>
  </si>
  <si>
    <t>Блогеры 15</t>
  </si>
  <si>
    <t>Блогеры 10</t>
  </si>
  <si>
    <t>Вертикальные видео</t>
  </si>
  <si>
    <t>Блогеры 5</t>
  </si>
  <si>
    <t>Интеграции</t>
  </si>
  <si>
    <t>Блогеры 120</t>
  </si>
  <si>
    <t>Блогеры 90</t>
  </si>
  <si>
    <t>Блогеры 60</t>
  </si>
  <si>
    <t>Маркетплейсы</t>
  </si>
  <si>
    <t>Видеобаннер</t>
  </si>
  <si>
    <t>Видео 30</t>
  </si>
  <si>
    <t>Видео 25</t>
  </si>
  <si>
    <t>Видео 15</t>
  </si>
  <si>
    <t>Видео 10</t>
  </si>
  <si>
    <t>Статика премиум</t>
  </si>
  <si>
    <t>Статика стандарт</t>
  </si>
  <si>
    <t>Наружная реклама (водители)</t>
  </si>
  <si>
    <t>Билборд (статика)</t>
  </si>
  <si>
    <t>Биллборд (цифра)</t>
  </si>
  <si>
    <t>Медиафасад</t>
  </si>
  <si>
    <t>Ситиформат (цифра)</t>
  </si>
  <si>
    <t>Наружная реклама (пешеходы)</t>
  </si>
  <si>
    <t>Онлайн-видео</t>
  </si>
  <si>
    <t>Аут-стрим онлайн-видео (Skip)</t>
  </si>
  <si>
    <t>Ин-стрим онлайн-видео Skip</t>
  </si>
  <si>
    <t>Ин-стрим онлайн-видео UnSkip</t>
  </si>
  <si>
    <t>Онлайн-кинотеатры (smart, streaming)</t>
  </si>
  <si>
    <t>Видео 60</t>
  </si>
  <si>
    <t>Видео 45</t>
  </si>
  <si>
    <t>Видео 40</t>
  </si>
  <si>
    <t>Видео 35</t>
  </si>
  <si>
    <t>Онлайн-кинотеатры (web, app)</t>
  </si>
  <si>
    <t>Посевы</t>
  </si>
  <si>
    <t>Видео + текст</t>
  </si>
  <si>
    <t>Фото + текст</t>
  </si>
  <si>
    <t>Радио</t>
  </si>
  <si>
    <t>Аудиоролик</t>
  </si>
  <si>
    <t>Спонсорская заставка</t>
  </si>
  <si>
    <t>Спонсорская интеграция</t>
  </si>
  <si>
    <t>Аудио 45</t>
  </si>
  <si>
    <t>Социальные сети</t>
  </si>
  <si>
    <t>Clips</t>
  </si>
  <si>
    <t>Видео 5</t>
  </si>
  <si>
    <t>Видео InStream</t>
  </si>
  <si>
    <t>Статика посты</t>
  </si>
  <si>
    <t>Статика стандарт (баннеры)</t>
  </si>
  <si>
    <t>ТВ</t>
  </si>
  <si>
    <t>Ролик</t>
  </si>
  <si>
    <t>Тематические ресурсы</t>
  </si>
  <si>
    <t>Геосервисы</t>
  </si>
  <si>
    <t>Премиум</t>
  </si>
  <si>
    <t>FullScreen</t>
  </si>
  <si>
    <t>Сила влияния клаттера</t>
  </si>
  <si>
    <t>b доверие</t>
  </si>
  <si>
    <t>k</t>
  </si>
  <si>
    <t>p доверие</t>
  </si>
  <si>
    <t>gamma</t>
  </si>
  <si>
    <t>b клаттер</t>
  </si>
  <si>
    <t>Max bonus</t>
  </si>
  <si>
    <t>p клаттер</t>
  </si>
  <si>
    <t>relevance</t>
  </si>
  <si>
    <t>frequency_potential</t>
  </si>
  <si>
    <t>quality</t>
  </si>
  <si>
    <t>fact_time</t>
  </si>
  <si>
    <t>Brand_eff</t>
  </si>
  <si>
    <t>Purchase_eff</t>
  </si>
  <si>
    <t>norm_Brand_eff</t>
  </si>
  <si>
    <t>norm_Purchase_eff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</si>
</sst>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2" fontId="0" fillId="0" borderId="0" xfId="0" applyNumberFormat="1"/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5" borderId="0" xfId="0" applyFill="1" applyAlignment="1">
      <alignment horizontal="center" vertical="center" wrapText="1"/>
    </xf>
    <xf numFmtId="0" fontId="0" fillId="0" borderId="0" xfId="0" applyAlignment="1">
      <alignment horizontal="right"/>
    </xf>
    <xf numFmtId="9" fontId="0" fillId="0" borderId="0" xfId="0" applyNumberFormat="1"/>
    <xf numFmtId="0" fontId="4" fillId="6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2" fontId="0" fillId="3" borderId="0" xfId="0" applyNumberFormat="1" applyFill="1"/>
    <xf numFmtId="165" fontId="0" fillId="0" borderId="0" xfId="0" applyNumberFormat="1"/>
    <xf numFmtId="1" fontId="0" fillId="0" borderId="0" xfId="0" applyNumberFormat="1"/>
    <xf numFmtId="0" fontId="0" fillId="9" borderId="0" xfId="0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53124</xdr:colOff>
      <xdr:row>141</xdr:row>
      <xdr:rowOff>123825</xdr:rowOff>
    </xdr:from>
    <xdr:to>
      <xdr:col>23</xdr:col>
      <xdr:colOff>604286</xdr:colOff>
      <xdr:row>152</xdr:row>
      <xdr:rowOff>66675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AE1D7BF-07E5-9163-7E06-38932E1E8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93624" y="25473025"/>
          <a:ext cx="5567662" cy="1898650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154</xdr:row>
      <xdr:rowOff>66675</xdr:rowOff>
    </xdr:from>
    <xdr:to>
      <xdr:col>23</xdr:col>
      <xdr:colOff>775760</xdr:colOff>
      <xdr:row>164</xdr:row>
      <xdr:rowOff>139112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2975F94-2E59-A0E4-24EC-7424E7D66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297650" y="27727275"/>
          <a:ext cx="5735110" cy="1850437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166</xdr:row>
      <xdr:rowOff>152401</xdr:rowOff>
    </xdr:from>
    <xdr:to>
      <xdr:col>23</xdr:col>
      <xdr:colOff>394706</xdr:colOff>
      <xdr:row>176</xdr:row>
      <xdr:rowOff>25007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51C789A-C602-718B-A3F0-7520EA4CF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335750" y="29946601"/>
          <a:ext cx="5315956" cy="1650606"/>
        </a:xfrm>
        <a:prstGeom prst="rect">
          <a:avLst/>
        </a:prstGeom>
      </xdr:spPr>
    </xdr:pic>
    <xdr:clientData/>
  </xdr:twoCellAnchor>
  <xdr:twoCellAnchor editAs="oneCell">
    <xdr:from>
      <xdr:col>29</xdr:col>
      <xdr:colOff>219560</xdr:colOff>
      <xdr:row>137</xdr:row>
      <xdr:rowOff>79802</xdr:rowOff>
    </xdr:from>
    <xdr:to>
      <xdr:col>35</xdr:col>
      <xdr:colOff>38747</xdr:colOff>
      <xdr:row>154</xdr:row>
      <xdr:rowOff>138383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DDD62804-B2A6-6096-EB28-6349C16BE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542713" y="25122480"/>
          <a:ext cx="5786034" cy="3132411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179</xdr:row>
      <xdr:rowOff>63596</xdr:rowOff>
    </xdr:from>
    <xdr:to>
      <xdr:col>24</xdr:col>
      <xdr:colOff>127000</xdr:colOff>
      <xdr:row>190</xdr:row>
      <xdr:rowOff>25723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341A0232-E3A3-9B50-B092-8E30A3E685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240500" y="32169196"/>
          <a:ext cx="6146800" cy="1917927"/>
        </a:xfrm>
        <a:prstGeom prst="rect">
          <a:avLst/>
        </a:prstGeom>
      </xdr:spPr>
    </xdr:pic>
    <xdr:clientData/>
  </xdr:twoCellAnchor>
  <xdr:twoCellAnchor editAs="oneCell">
    <xdr:from>
      <xdr:col>18</xdr:col>
      <xdr:colOff>1</xdr:colOff>
      <xdr:row>192</xdr:row>
      <xdr:rowOff>12700</xdr:rowOff>
    </xdr:from>
    <xdr:to>
      <xdr:col>24</xdr:col>
      <xdr:colOff>25401</xdr:colOff>
      <xdr:row>212</xdr:row>
      <xdr:rowOff>162081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4A5250ED-9E37-753C-8B1F-E61FCE300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240501" y="34429700"/>
          <a:ext cx="6045200" cy="3705381"/>
        </a:xfrm>
        <a:prstGeom prst="rect">
          <a:avLst/>
        </a:prstGeom>
      </xdr:spPr>
    </xdr:pic>
    <xdr:clientData/>
  </xdr:twoCellAnchor>
  <xdr:twoCellAnchor editAs="oneCell">
    <xdr:from>
      <xdr:col>24</xdr:col>
      <xdr:colOff>1</xdr:colOff>
      <xdr:row>141</xdr:row>
      <xdr:rowOff>0</xdr:rowOff>
    </xdr:from>
    <xdr:to>
      <xdr:col>29</xdr:col>
      <xdr:colOff>12701</xdr:colOff>
      <xdr:row>153</xdr:row>
      <xdr:rowOff>147049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10C2DD0-D0C6-2781-4036-AC2117842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260301" y="25349200"/>
          <a:ext cx="4267200" cy="2280649"/>
        </a:xfrm>
        <a:prstGeom prst="rect">
          <a:avLst/>
        </a:prstGeom>
      </xdr:spPr>
    </xdr:pic>
    <xdr:clientData/>
  </xdr:twoCellAnchor>
  <xdr:twoCellAnchor editAs="oneCell">
    <xdr:from>
      <xdr:col>24</xdr:col>
      <xdr:colOff>1</xdr:colOff>
      <xdr:row>156</xdr:row>
      <xdr:rowOff>88900</xdr:rowOff>
    </xdr:from>
    <xdr:to>
      <xdr:col>29</xdr:col>
      <xdr:colOff>1</xdr:colOff>
      <xdr:row>170</xdr:row>
      <xdr:rowOff>84158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9FD487E2-F263-2643-7C24-D84971869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5260301" y="28105100"/>
          <a:ext cx="4254500" cy="2484458"/>
        </a:xfrm>
        <a:prstGeom prst="rect">
          <a:avLst/>
        </a:prstGeom>
      </xdr:spPr>
    </xdr:pic>
    <xdr:clientData/>
  </xdr:twoCellAnchor>
  <xdr:twoCellAnchor editAs="oneCell">
    <xdr:from>
      <xdr:col>39</xdr:col>
      <xdr:colOff>1</xdr:colOff>
      <xdr:row>137</xdr:row>
      <xdr:rowOff>1</xdr:rowOff>
    </xdr:from>
    <xdr:to>
      <xdr:col>43</xdr:col>
      <xdr:colOff>520700</xdr:colOff>
      <xdr:row>157</xdr:row>
      <xdr:rowOff>11659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2F4F1D2B-0A35-F229-ACC5-C86D73968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782501" y="24638001"/>
          <a:ext cx="4533899" cy="3567658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158</xdr:row>
      <xdr:rowOff>0</xdr:rowOff>
    </xdr:from>
    <xdr:to>
      <xdr:col>43</xdr:col>
      <xdr:colOff>596900</xdr:colOff>
      <xdr:row>167</xdr:row>
      <xdr:rowOff>176115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9C7E8C4A-EC71-FF16-999D-9D3D21001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782500" y="28371800"/>
          <a:ext cx="4610100" cy="1776315"/>
        </a:xfrm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140</xdr:row>
      <xdr:rowOff>50800</xdr:rowOff>
    </xdr:from>
    <xdr:to>
      <xdr:col>64</xdr:col>
      <xdr:colOff>139700</xdr:colOff>
      <xdr:row>161</xdr:row>
      <xdr:rowOff>165134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2DFFCC90-005B-C1F4-5FED-44DBF32E4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3555900" y="25400000"/>
          <a:ext cx="5613400" cy="38481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E7CDD-5BB0-4C0B-8881-5C8840850F1F}">
  <dimension ref="A1:CE162"/>
  <sheetViews>
    <sheetView tabSelected="1" zoomScale="60" zoomScaleNormal="6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4.5" x14ac:dyDescent="0.35"/>
  <cols>
    <col min="1" max="1" width="28.08984375" bestFit="1" customWidth="1"/>
    <col min="2" max="2" width="42.453125" bestFit="1" customWidth="1"/>
    <col min="3" max="4" width="10.54296875" customWidth="1"/>
    <col min="5" max="5" width="10.54296875" hidden="1" customWidth="1"/>
    <col min="6" max="17" width="14.54296875" customWidth="1"/>
    <col min="18" max="18" width="3" customWidth="1"/>
    <col min="19" max="28" width="14.54296875" customWidth="1"/>
    <col min="29" max="29" width="3.54296875" customWidth="1"/>
    <col min="30" max="38" width="14.54296875" customWidth="1"/>
    <col min="39" max="39" width="3.54296875" customWidth="1"/>
    <col min="40" max="47" width="14.54296875" customWidth="1"/>
    <col min="48" max="48" width="3.54296875" customWidth="1"/>
    <col min="49" max="50" width="14.54296875" customWidth="1"/>
    <col min="51" max="51" width="3.54296875" customWidth="1"/>
    <col min="52" max="56" width="14.54296875" customWidth="1"/>
    <col min="57" max="57" width="3.54296875" customWidth="1"/>
    <col min="58" max="59" width="14.54296875" customWidth="1"/>
    <col min="60" max="60" width="3.54296875" customWidth="1"/>
    <col min="61" max="63" width="14.54296875" customWidth="1"/>
    <col min="64" max="64" width="3.54296875" customWidth="1"/>
    <col min="65" max="66" width="14.54296875" customWidth="1"/>
    <col min="67" max="67" width="3.54296875" customWidth="1"/>
    <col min="68" max="69" width="14.54296875" customWidth="1"/>
  </cols>
  <sheetData>
    <row r="1" spans="1:83" ht="50.1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1</v>
      </c>
      <c r="G1" s="15" t="s">
        <v>5</v>
      </c>
      <c r="H1" s="15" t="s">
        <v>6</v>
      </c>
      <c r="I1" s="15" t="s">
        <v>7</v>
      </c>
      <c r="J1" s="15" t="s">
        <v>8</v>
      </c>
      <c r="K1" s="15" t="s">
        <v>9</v>
      </c>
      <c r="L1" s="15" t="s">
        <v>10</v>
      </c>
      <c r="M1" s="15" t="s">
        <v>11</v>
      </c>
      <c r="N1" s="15" t="s">
        <v>12</v>
      </c>
      <c r="O1" s="15" t="s">
        <v>13</v>
      </c>
      <c r="P1" s="3" t="s">
        <v>14</v>
      </c>
      <c r="Q1" s="3" t="s">
        <v>15</v>
      </c>
      <c r="S1" s="16" t="s">
        <v>16</v>
      </c>
      <c r="T1" s="14" t="s">
        <v>17</v>
      </c>
      <c r="U1" s="5" t="s">
        <v>18</v>
      </c>
      <c r="V1" s="5" t="s">
        <v>19</v>
      </c>
      <c r="W1" s="5" t="s">
        <v>20</v>
      </c>
      <c r="X1" s="16" t="s">
        <v>20</v>
      </c>
      <c r="Y1" s="14" t="s">
        <v>21</v>
      </c>
      <c r="Z1" s="14" t="s">
        <v>22</v>
      </c>
      <c r="AA1" s="16" t="s">
        <v>23</v>
      </c>
      <c r="AB1" s="8" t="s">
        <v>24</v>
      </c>
      <c r="AD1" s="15" t="s">
        <v>2</v>
      </c>
      <c r="AE1" s="15" t="s">
        <v>25</v>
      </c>
      <c r="AF1" s="17" t="s">
        <v>26</v>
      </c>
      <c r="AG1" s="20" t="s">
        <v>144</v>
      </c>
      <c r="AH1" s="15" t="s">
        <v>27</v>
      </c>
      <c r="AI1" s="15" t="s">
        <v>28</v>
      </c>
      <c r="AJ1" s="15" t="s">
        <v>29</v>
      </c>
      <c r="AK1" s="15" t="s">
        <v>30</v>
      </c>
      <c r="AL1" s="15" t="s">
        <v>31</v>
      </c>
      <c r="AN1" s="14" t="s">
        <v>32</v>
      </c>
      <c r="AO1" s="14" t="s">
        <v>33</v>
      </c>
      <c r="AP1" s="16" t="s">
        <v>34</v>
      </c>
      <c r="AQ1" s="14" t="s">
        <v>35</v>
      </c>
      <c r="AR1" s="14" t="s">
        <v>36</v>
      </c>
      <c r="AS1" s="16" t="s">
        <v>37</v>
      </c>
      <c r="AT1" s="8" t="s">
        <v>38</v>
      </c>
      <c r="AU1" s="8" t="s">
        <v>39</v>
      </c>
      <c r="AW1" s="15" t="s">
        <v>40</v>
      </c>
      <c r="AX1" s="15" t="s">
        <v>41</v>
      </c>
      <c r="AZ1" s="14" t="s">
        <v>42</v>
      </c>
      <c r="BA1" s="16" t="s">
        <v>43</v>
      </c>
      <c r="BB1" s="14" t="s">
        <v>44</v>
      </c>
      <c r="BC1" s="14" t="s">
        <v>45</v>
      </c>
      <c r="BD1" s="16" t="s">
        <v>46</v>
      </c>
      <c r="BF1" s="18" t="s">
        <v>47</v>
      </c>
      <c r="BG1" s="19" t="s">
        <v>48</v>
      </c>
      <c r="BI1" s="13" t="s">
        <v>143</v>
      </c>
      <c r="BJ1" s="13" t="s">
        <v>141</v>
      </c>
      <c r="BK1" s="13" t="s">
        <v>142</v>
      </c>
      <c r="BM1" s="13" t="s">
        <v>145</v>
      </c>
      <c r="BN1" s="13" t="s">
        <v>146</v>
      </c>
      <c r="BP1" s="13" t="s">
        <v>147</v>
      </c>
      <c r="BQ1" s="13" t="s">
        <v>148</v>
      </c>
    </row>
    <row r="2" spans="1:83" x14ac:dyDescent="0.35">
      <c r="A2" t="s">
        <v>49</v>
      </c>
      <c r="B2" t="s">
        <v>50</v>
      </c>
      <c r="D2" t="s">
        <v>50</v>
      </c>
      <c r="E2" t="s">
        <v>50</v>
      </c>
      <c r="F2">
        <v>0.4</v>
      </c>
      <c r="G2">
        <v>7.0000000000000007E-2</v>
      </c>
      <c r="H2">
        <v>0.9</v>
      </c>
      <c r="I2">
        <f t="shared" ref="I2:I9" si="0">G2*H2</f>
        <v>6.3000000000000014E-2</v>
      </c>
      <c r="J2">
        <v>0.14000000000000001</v>
      </c>
      <c r="K2">
        <v>0.25</v>
      </c>
      <c r="L2">
        <f t="shared" ref="L2:L9" si="1">J2*K2</f>
        <v>3.5000000000000003E-2</v>
      </c>
      <c r="M2">
        <v>0.3</v>
      </c>
      <c r="N2" s="1">
        <f t="shared" ref="N2:N9" si="2">2*DEGREES(ATAN(I2/(2*M2)))</f>
        <v>11.988185898216942</v>
      </c>
      <c r="O2" s="1">
        <f t="shared" ref="O2:O9" si="3">2*DEGREES(ATAN(L2/(2*M2)))</f>
        <v>6.6769410875287054</v>
      </c>
      <c r="P2" s="1">
        <f t="shared" ref="P2:P9" si="4">AVERAGE(N2:O2)</f>
        <v>9.3325634928728238</v>
      </c>
      <c r="Q2">
        <v>4</v>
      </c>
      <c r="S2">
        <f t="shared" ref="S2:S33" si="5">F2</f>
        <v>0.4</v>
      </c>
      <c r="T2" s="1">
        <f t="shared" ref="T2:T33" si="6">MIN(1, P2/$S$135)</f>
        <v>0.26248889920511492</v>
      </c>
      <c r="U2" s="1">
        <f t="shared" ref="U2:U33" si="7">1 - POWER(2.718281828, -$S$136 * MIN(1, P2/$S$135))</f>
        <v>0.34294151004754203</v>
      </c>
      <c r="V2" s="1">
        <f t="shared" ref="V2:V33" si="8">1 + MIN($S$138, $S$137 * MAX(0, P2/$S$135 - 1))</f>
        <v>1</v>
      </c>
      <c r="W2" s="1">
        <f t="shared" ref="W2:W33" si="9">U2*V2</f>
        <v>0.34294151004754203</v>
      </c>
      <c r="X2" s="1">
        <f t="shared" ref="X2:X33" si="10">W2/$W$131</f>
        <v>0.38342951397643987</v>
      </c>
      <c r="Y2">
        <v>0.92</v>
      </c>
      <c r="Z2" s="1">
        <f t="shared" ref="Z2:Z33" si="11" xml:space="preserve"> (1 - POWER(Y2, Q2)) / (1 - Y2)</f>
        <v>3.5450880000000007</v>
      </c>
      <c r="AA2" s="1">
        <f t="shared" ref="AA2:AA33" si="12">Z2/$Z$131</f>
        <v>6.3536603925436183E-2</v>
      </c>
      <c r="AB2" s="1">
        <f t="shared" ref="AB2:AB33" si="13">POWER(PRODUCT(POWER(S2,$S$129),POWER(X2,$X$129),POWER(AA2,$AA$129)),1/SUM($S$129,$X$129,$AA$129))</f>
        <v>0.18960595833321453</v>
      </c>
      <c r="AD2" s="1"/>
      <c r="AE2" s="1"/>
      <c r="AF2" s="1">
        <v>1.6</v>
      </c>
      <c r="AG2" s="1">
        <f>AF2/$AF$131</f>
        <v>3.1372549019607843E-2</v>
      </c>
      <c r="AH2" s="1">
        <v>1</v>
      </c>
      <c r="AI2" s="1">
        <v>0.18</v>
      </c>
      <c r="AJ2" s="1">
        <v>1</v>
      </c>
      <c r="AK2" s="1"/>
      <c r="AL2" s="1"/>
      <c r="AN2" s="1">
        <f t="shared" ref="AN2:AN33" si="14">MIN(1, AF2/Q2)</f>
        <v>0.4</v>
      </c>
      <c r="AO2" s="1">
        <f t="shared" ref="AO2:AO33" si="15">MIN(1,
   1 - POWER(
         1 - IFERROR(VLOOKUP(D2, $BR$3:$BS$7, 2, FALSE), 0.92),
         POWER(
            MAX(0, MIN(1, IFERROR(AF2 / Q2, 0))),
            IFERROR(
               INDEX($BT$3:$CE$7,
                      MATCH(D2, $BR$3:$BR$7, 0),
                      MATCH(Q2,  $BT$2:$CE$2, 1)
               ),
               1
            )
         )
      )
)</f>
        <v>0.6018928294465028</v>
      </c>
      <c r="AP2" s="1">
        <f t="shared" ref="AP2:AP33" si="16">AO2</f>
        <v>0.6018928294465028</v>
      </c>
      <c r="AQ2" s="1">
        <f t="shared" ref="AQ2:AQ33" si="17">AH2</f>
        <v>1</v>
      </c>
      <c r="AR2" s="1">
        <f t="shared" ref="AR2:AR33" si="18">1/(1+$AR$135*((AJ2-1)/(1+AJ2)))</f>
        <v>1</v>
      </c>
      <c r="AS2" s="1">
        <f t="shared" ref="AS2:AS33" si="19">POWER( POWER(AQ2, $AQ$129) * POWER(AR2, $AR$129), 1/($AQ$129+$AR$129) )</f>
        <v>1</v>
      </c>
      <c r="AT2" s="1">
        <f t="shared" ref="AT2:AT33" si="20">POWER( POWER(AP2, $AP$129) * POWER(AS2, $AS$129), 1/($AP$129+$AS$129) )</f>
        <v>0.71893141308608288</v>
      </c>
      <c r="AU2" s="11">
        <f t="shared" ref="AU2:AU33" si="21">AB2*AT2</f>
        <v>0.13631367955403886</v>
      </c>
      <c r="AW2" s="1">
        <v>44</v>
      </c>
      <c r="AX2" s="12">
        <v>45</v>
      </c>
      <c r="AZ2" s="11">
        <f t="shared" ref="AZ2:AZ33" si="22">AW2/$AW$131</f>
        <v>0.67692307692307696</v>
      </c>
      <c r="BA2" s="11">
        <f t="shared" ref="BA2:BA33" si="23">AZ2</f>
        <v>0.67692307692307696</v>
      </c>
      <c r="BB2" s="11">
        <f t="shared" ref="BB2:BB33" si="24">(AX2 - $BB$135) / ($BB$136 - $BB$135)</f>
        <v>0.12576687116564417</v>
      </c>
      <c r="BC2" s="11">
        <f t="shared" ref="BC2:BC33" si="25">MAX(0, MIN(1, BB2))</f>
        <v>0.12576687116564417</v>
      </c>
      <c r="BD2" s="11">
        <f t="shared" ref="BD2:BD33" si="26" xml:space="preserve"> 1 - POWER(BC2, $BD$135)</f>
        <v>0.56365851768361175</v>
      </c>
      <c r="BF2" s="11">
        <f t="shared" ref="BF2:BF33" si="27">AU2
 * (1 - $BF$135 * POWER(1 - BA2, $BF$136))
 * (1 - $BF$137 * POWER(1 - BD2, $BF$138))</f>
        <v>0.11148986040373388</v>
      </c>
      <c r="BG2" s="11">
        <f t="shared" ref="BG2:BG33" si="28">BF2/$BF$131</f>
        <v>0.15291152163539584</v>
      </c>
      <c r="BI2" s="11">
        <v>0.15291152163539584</v>
      </c>
      <c r="BJ2" s="11">
        <v>0.85406531487024584</v>
      </c>
      <c r="BK2" s="11">
        <v>6.6666666666666666E-2</v>
      </c>
      <c r="BM2" s="11">
        <f t="shared" ref="BM2:BM4" si="29">BI2*$BI$135+BJ2*$BJ$135+BK2*$BK$135</f>
        <v>0.19284120171982566</v>
      </c>
      <c r="BN2" s="11">
        <f>BI2*$BI$136+BJ2*$BJ$136+BK2*$BK$136</f>
        <v>0.43824502935202309</v>
      </c>
      <c r="BP2" s="11">
        <f>BM2/$BM$131</f>
        <v>0.30999691999490436</v>
      </c>
      <c r="BQ2" s="11">
        <f>BN2/$BN$131</f>
        <v>0.69645821564364219</v>
      </c>
      <c r="BR2" s="9"/>
      <c r="BS2" s="9"/>
      <c r="BT2">
        <v>5</v>
      </c>
      <c r="BU2">
        <v>10</v>
      </c>
      <c r="BV2">
        <v>15</v>
      </c>
      <c r="BW2">
        <v>20</v>
      </c>
      <c r="BX2">
        <v>25</v>
      </c>
      <c r="BY2">
        <v>30</v>
      </c>
      <c r="BZ2">
        <v>35</v>
      </c>
      <c r="CA2">
        <v>40</v>
      </c>
      <c r="CB2">
        <v>45</v>
      </c>
      <c r="CC2">
        <v>60</v>
      </c>
      <c r="CD2">
        <v>90</v>
      </c>
      <c r="CE2">
        <v>120</v>
      </c>
    </row>
    <row r="3" spans="1:83" x14ac:dyDescent="0.35">
      <c r="A3" t="s">
        <v>49</v>
      </c>
      <c r="B3" t="s">
        <v>51</v>
      </c>
      <c r="D3" t="s">
        <v>52</v>
      </c>
      <c r="E3" t="s">
        <v>52</v>
      </c>
      <c r="F3">
        <v>0.5</v>
      </c>
      <c r="G3">
        <v>7.0000000000000007E-2</v>
      </c>
      <c r="H3">
        <v>0.9</v>
      </c>
      <c r="I3">
        <f t="shared" si="0"/>
        <v>6.3000000000000014E-2</v>
      </c>
      <c r="J3">
        <v>0.14000000000000001</v>
      </c>
      <c r="K3">
        <v>0.5</v>
      </c>
      <c r="L3">
        <f t="shared" si="1"/>
        <v>7.0000000000000007E-2</v>
      </c>
      <c r="M3">
        <v>0.3</v>
      </c>
      <c r="N3" s="1">
        <f t="shared" si="2"/>
        <v>11.988185898216942</v>
      </c>
      <c r="O3" s="1">
        <f t="shared" si="3"/>
        <v>13.308850092013193</v>
      </c>
      <c r="P3" s="1">
        <f t="shared" si="4"/>
        <v>12.648517995115068</v>
      </c>
      <c r="Q3">
        <v>3</v>
      </c>
      <c r="S3">
        <f t="shared" si="5"/>
        <v>0.5</v>
      </c>
      <c r="T3" s="1">
        <f t="shared" si="6"/>
        <v>0.35575386844668794</v>
      </c>
      <c r="U3" s="1">
        <f t="shared" si="7"/>
        <v>0.43402546299724942</v>
      </c>
      <c r="V3" s="1">
        <f t="shared" si="8"/>
        <v>1</v>
      </c>
      <c r="W3" s="1">
        <f t="shared" si="9"/>
        <v>0.43402546299724942</v>
      </c>
      <c r="X3" s="1">
        <f t="shared" si="10"/>
        <v>0.48526692585964309</v>
      </c>
      <c r="Y3">
        <v>0.8</v>
      </c>
      <c r="Z3" s="1">
        <f t="shared" si="11"/>
        <v>2.44</v>
      </c>
      <c r="AA3" s="1">
        <f t="shared" si="12"/>
        <v>4.3730737735724542E-2</v>
      </c>
      <c r="AB3" s="1">
        <f t="shared" si="13"/>
        <v>0.18726188734357763</v>
      </c>
      <c r="AD3" s="1"/>
      <c r="AE3" s="1"/>
      <c r="AF3" s="1">
        <v>1.3</v>
      </c>
      <c r="AG3" s="1">
        <f t="shared" ref="AG3:AG66" si="30">AF3/$AF$131</f>
        <v>2.5490196078431372E-2</v>
      </c>
      <c r="AH3" s="1">
        <v>1</v>
      </c>
      <c r="AI3" s="1">
        <v>0.18</v>
      </c>
      <c r="AJ3" s="1">
        <v>1</v>
      </c>
      <c r="AK3" s="1"/>
      <c r="AL3" s="1"/>
      <c r="AN3" s="1">
        <f t="shared" si="14"/>
        <v>0.43333333333333335</v>
      </c>
      <c r="AO3" s="1">
        <f t="shared" si="15"/>
        <v>0.63130549354804244</v>
      </c>
      <c r="AP3" s="1">
        <f t="shared" si="16"/>
        <v>0.63130549354804244</v>
      </c>
      <c r="AQ3" s="1">
        <f t="shared" si="17"/>
        <v>1</v>
      </c>
      <c r="AR3" s="1">
        <f t="shared" si="18"/>
        <v>1</v>
      </c>
      <c r="AS3" s="1">
        <f t="shared" si="19"/>
        <v>1</v>
      </c>
      <c r="AT3" s="1">
        <f t="shared" si="20"/>
        <v>0.74157609130155011</v>
      </c>
      <c r="AU3" s="11">
        <f t="shared" si="21"/>
        <v>0.13886893846600151</v>
      </c>
      <c r="AW3" s="1">
        <v>44</v>
      </c>
      <c r="AX3" s="12">
        <v>45</v>
      </c>
      <c r="AZ3" s="11">
        <f t="shared" si="22"/>
        <v>0.67692307692307696</v>
      </c>
      <c r="BA3" s="11">
        <f t="shared" si="23"/>
        <v>0.67692307692307696</v>
      </c>
      <c r="BB3" s="11">
        <f t="shared" si="24"/>
        <v>0.12576687116564417</v>
      </c>
      <c r="BC3" s="11">
        <f t="shared" si="25"/>
        <v>0.12576687116564417</v>
      </c>
      <c r="BD3" s="11">
        <f t="shared" si="26"/>
        <v>0.56365851768361175</v>
      </c>
      <c r="BF3" s="11">
        <f t="shared" si="27"/>
        <v>0.11357978608340255</v>
      </c>
      <c r="BG3" s="11">
        <f t="shared" si="28"/>
        <v>0.15577791427976517</v>
      </c>
      <c r="BI3" s="11">
        <v>0.15577791427976517</v>
      </c>
      <c r="BJ3" s="11">
        <v>0.85406531487024584</v>
      </c>
      <c r="BK3" s="11">
        <v>6.6666666666666666E-2</v>
      </c>
      <c r="BM3" s="11">
        <f t="shared" si="29"/>
        <v>0.19441771767422877</v>
      </c>
      <c r="BN3" s="11">
        <f t="shared" ref="BN3:BN66" si="31">BI3*$BI$136+BJ3*$BJ$136+BK3*$BK$136</f>
        <v>0.43881830788089699</v>
      </c>
      <c r="BP3" s="11">
        <f t="shared" ref="BP3:BP39" si="32">BM3/$BM$131</f>
        <v>0.31253120771884124</v>
      </c>
      <c r="BQ3" s="11">
        <f t="shared" ref="BQ3:BQ39" si="33">BN3/$BN$131</f>
        <v>0.6973692688548484</v>
      </c>
      <c r="BR3" s="9" t="s">
        <v>53</v>
      </c>
      <c r="BS3" s="9">
        <v>0.95</v>
      </c>
      <c r="BT3">
        <v>1</v>
      </c>
      <c r="BU3">
        <v>0.95</v>
      </c>
      <c r="BV3">
        <v>0.9</v>
      </c>
      <c r="BW3">
        <v>0.85</v>
      </c>
      <c r="BX3">
        <v>0.82499999999999996</v>
      </c>
      <c r="BY3">
        <v>0.8</v>
      </c>
      <c r="BZ3">
        <v>0.79</v>
      </c>
      <c r="CA3">
        <v>0.78</v>
      </c>
      <c r="CB3">
        <v>0.77</v>
      </c>
      <c r="CC3">
        <v>0.76</v>
      </c>
      <c r="CD3">
        <v>0.75</v>
      </c>
      <c r="CE3">
        <v>0.74</v>
      </c>
    </row>
    <row r="4" spans="1:83" x14ac:dyDescent="0.35">
      <c r="A4" t="s">
        <v>49</v>
      </c>
      <c r="B4" t="s">
        <v>54</v>
      </c>
      <c r="C4">
        <v>20</v>
      </c>
      <c r="D4" t="s">
        <v>53</v>
      </c>
      <c r="E4" t="s">
        <v>55</v>
      </c>
      <c r="F4">
        <v>0.7</v>
      </c>
      <c r="G4">
        <v>7.0000000000000007E-2</v>
      </c>
      <c r="H4">
        <v>0.9</v>
      </c>
      <c r="I4">
        <f t="shared" si="0"/>
        <v>6.3000000000000014E-2</v>
      </c>
      <c r="J4">
        <v>0.14000000000000001</v>
      </c>
      <c r="K4">
        <v>0.5</v>
      </c>
      <c r="L4">
        <f t="shared" si="1"/>
        <v>7.0000000000000007E-2</v>
      </c>
      <c r="M4">
        <v>0.3</v>
      </c>
      <c r="N4" s="1">
        <f t="shared" si="2"/>
        <v>11.988185898216942</v>
      </c>
      <c r="O4" s="1">
        <f t="shared" si="3"/>
        <v>13.308850092013193</v>
      </c>
      <c r="P4" s="1">
        <f t="shared" si="4"/>
        <v>12.648517995115068</v>
      </c>
      <c r="Q4">
        <v>20</v>
      </c>
      <c r="S4">
        <f t="shared" si="5"/>
        <v>0.7</v>
      </c>
      <c r="T4" s="1">
        <f t="shared" si="6"/>
        <v>0.35575386844668794</v>
      </c>
      <c r="U4" s="1">
        <f t="shared" si="7"/>
        <v>0.43402546299724942</v>
      </c>
      <c r="V4" s="1">
        <f t="shared" si="8"/>
        <v>1</v>
      </c>
      <c r="W4" s="1">
        <f t="shared" si="9"/>
        <v>0.43402546299724942</v>
      </c>
      <c r="X4" s="1">
        <f t="shared" si="10"/>
        <v>0.48526692585964309</v>
      </c>
      <c r="Y4">
        <v>0.96</v>
      </c>
      <c r="Z4" s="1">
        <f t="shared" si="11"/>
        <v>13.949939153014794</v>
      </c>
      <c r="AA4" s="1">
        <f t="shared" si="12"/>
        <v>0.25001685677451041</v>
      </c>
      <c r="AB4" s="1">
        <f t="shared" si="13"/>
        <v>0.4231235555420258</v>
      </c>
      <c r="AD4" s="1">
        <v>20</v>
      </c>
      <c r="AE4" s="1">
        <v>0.23</v>
      </c>
      <c r="AF4" s="1">
        <f>AD4*AE4</f>
        <v>4.6000000000000005</v>
      </c>
      <c r="AG4" s="1">
        <f t="shared" si="30"/>
        <v>9.0196078431372562E-2</v>
      </c>
      <c r="AH4" s="1">
        <v>1</v>
      </c>
      <c r="AI4" s="1">
        <v>0.18</v>
      </c>
      <c r="AJ4" s="1">
        <v>1</v>
      </c>
      <c r="AK4" s="1"/>
      <c r="AL4" s="1"/>
      <c r="AN4" s="1">
        <f t="shared" si="14"/>
        <v>0.23000000000000004</v>
      </c>
      <c r="AO4" s="1">
        <f t="shared" si="15"/>
        <v>0.57639652669210895</v>
      </c>
      <c r="AP4" s="1">
        <f t="shared" si="16"/>
        <v>0.57639652669210895</v>
      </c>
      <c r="AQ4" s="1">
        <f t="shared" si="17"/>
        <v>1</v>
      </c>
      <c r="AR4" s="1">
        <f t="shared" si="18"/>
        <v>1</v>
      </c>
      <c r="AS4" s="1">
        <f t="shared" si="19"/>
        <v>1</v>
      </c>
      <c r="AT4" s="1">
        <f t="shared" si="20"/>
        <v>0.69898664941493971</v>
      </c>
      <c r="AU4" s="11">
        <f t="shared" si="21"/>
        <v>0.29575771637685677</v>
      </c>
      <c r="AW4" s="1">
        <v>44</v>
      </c>
      <c r="AX4" s="12">
        <v>45</v>
      </c>
      <c r="AZ4" s="11">
        <f t="shared" si="22"/>
        <v>0.67692307692307696</v>
      </c>
      <c r="BA4" s="11">
        <f t="shared" si="23"/>
        <v>0.67692307692307696</v>
      </c>
      <c r="BB4" s="11">
        <f t="shared" si="24"/>
        <v>0.12576687116564417</v>
      </c>
      <c r="BC4" s="11">
        <f t="shared" si="25"/>
        <v>0.12576687116564417</v>
      </c>
      <c r="BD4" s="11">
        <f t="shared" si="26"/>
        <v>0.56365851768361175</v>
      </c>
      <c r="BF4" s="11">
        <f>AU4
 * (1 - $BF$135 * POWER(1 - BA4, $BF$136))
 * (1 - $BF$137 * POWER(1 - BD4, $BF$138))</f>
        <v>0.24189785368614444</v>
      </c>
      <c r="BG4" s="11">
        <f t="shared" si="28"/>
        <v>0.33176980178769605</v>
      </c>
      <c r="BI4" s="11">
        <v>0.33176980178769605</v>
      </c>
      <c r="BJ4" s="11">
        <v>0.85406531487024584</v>
      </c>
      <c r="BK4" s="11">
        <v>6.6666666666666666E-2</v>
      </c>
      <c r="BM4" s="11">
        <f t="shared" si="29"/>
        <v>0.29121325580359075</v>
      </c>
      <c r="BN4" s="11">
        <f t="shared" si="31"/>
        <v>0.47401668538248315</v>
      </c>
      <c r="BP4" s="11">
        <f t="shared" si="32"/>
        <v>0.46813238849216476</v>
      </c>
      <c r="BQ4" s="11">
        <f t="shared" si="33"/>
        <v>0.75330646733158191</v>
      </c>
      <c r="BR4" s="9" t="s">
        <v>56</v>
      </c>
      <c r="BS4" s="9">
        <v>0.92</v>
      </c>
      <c r="BT4">
        <v>1</v>
      </c>
      <c r="BU4">
        <v>0.98</v>
      </c>
      <c r="BV4">
        <v>0.96</v>
      </c>
      <c r="BW4">
        <v>0.94</v>
      </c>
      <c r="BX4">
        <v>0.92</v>
      </c>
      <c r="BY4">
        <v>0.91</v>
      </c>
      <c r="BZ4">
        <v>0.9</v>
      </c>
      <c r="CA4">
        <v>0.89</v>
      </c>
      <c r="CB4">
        <v>0.88</v>
      </c>
      <c r="CC4">
        <v>0.87</v>
      </c>
      <c r="CD4">
        <v>0.86</v>
      </c>
      <c r="CE4">
        <v>0.85</v>
      </c>
    </row>
    <row r="5" spans="1:83" x14ac:dyDescent="0.35">
      <c r="A5" t="s">
        <v>57</v>
      </c>
      <c r="B5" t="s">
        <v>58</v>
      </c>
      <c r="D5" t="s">
        <v>52</v>
      </c>
      <c r="E5" t="s">
        <v>52</v>
      </c>
      <c r="F5">
        <v>0.5</v>
      </c>
      <c r="G5">
        <v>1.1100000000000001</v>
      </c>
      <c r="H5">
        <v>0.5</v>
      </c>
      <c r="I5">
        <f t="shared" si="0"/>
        <v>0.55500000000000005</v>
      </c>
      <c r="J5">
        <v>0.22</v>
      </c>
      <c r="K5">
        <v>0.5</v>
      </c>
      <c r="L5">
        <f t="shared" si="1"/>
        <v>0.11</v>
      </c>
      <c r="M5">
        <v>3</v>
      </c>
      <c r="N5" s="1">
        <f t="shared" si="2"/>
        <v>10.569642185018031</v>
      </c>
      <c r="O5" s="1">
        <f t="shared" si="3"/>
        <v>2.1006099237914579</v>
      </c>
      <c r="P5" s="1">
        <f t="shared" si="4"/>
        <v>6.3351260544047445</v>
      </c>
      <c r="Q5">
        <v>3</v>
      </c>
      <c r="S5">
        <f t="shared" si="5"/>
        <v>0.5</v>
      </c>
      <c r="T5" s="1">
        <f t="shared" si="6"/>
        <v>0.17818258248296762</v>
      </c>
      <c r="U5" s="1">
        <f t="shared" si="7"/>
        <v>0.24805502700963711</v>
      </c>
      <c r="V5" s="1">
        <f t="shared" si="8"/>
        <v>1</v>
      </c>
      <c r="W5" s="1">
        <f t="shared" si="9"/>
        <v>0.24805502700963711</v>
      </c>
      <c r="X5" s="1">
        <f t="shared" si="10"/>
        <v>0.27734064165207789</v>
      </c>
      <c r="Y5">
        <v>0.8</v>
      </c>
      <c r="Z5" s="1">
        <f t="shared" si="11"/>
        <v>2.44</v>
      </c>
      <c r="AA5" s="1">
        <f t="shared" si="12"/>
        <v>4.3730737735724542E-2</v>
      </c>
      <c r="AB5" s="1">
        <f t="shared" si="13"/>
        <v>0.1628199443955656</v>
      </c>
      <c r="AD5" s="1"/>
      <c r="AE5" s="1"/>
      <c r="AF5" s="1">
        <v>1.2</v>
      </c>
      <c r="AG5" s="1">
        <f t="shared" si="30"/>
        <v>2.3529411764705882E-2</v>
      </c>
      <c r="AH5" s="1">
        <v>1</v>
      </c>
      <c r="AI5" s="1">
        <v>0.12</v>
      </c>
      <c r="AJ5" s="1">
        <v>1.5</v>
      </c>
      <c r="AK5" s="1"/>
      <c r="AL5" s="1"/>
      <c r="AN5" s="1">
        <f t="shared" si="14"/>
        <v>0.39999999999999997</v>
      </c>
      <c r="AO5" s="1">
        <f t="shared" si="15"/>
        <v>0.6018928294465028</v>
      </c>
      <c r="AP5" s="1">
        <f t="shared" si="16"/>
        <v>0.6018928294465028</v>
      </c>
      <c r="AQ5" s="1">
        <f t="shared" si="17"/>
        <v>1</v>
      </c>
      <c r="AR5" s="1">
        <f t="shared" si="18"/>
        <v>0.90909090909090906</v>
      </c>
      <c r="AS5" s="1">
        <f t="shared" si="19"/>
        <v>0.93992836236445954</v>
      </c>
      <c r="AT5" s="1">
        <f t="shared" si="20"/>
        <v>0.70351056567803605</v>
      </c>
      <c r="AU5" s="11">
        <f t="shared" si="21"/>
        <v>0.11454555118539073</v>
      </c>
      <c r="AW5" s="1">
        <v>42</v>
      </c>
      <c r="AX5" s="12">
        <v>15</v>
      </c>
      <c r="AZ5" s="11">
        <f t="shared" si="22"/>
        <v>0.64615384615384619</v>
      </c>
      <c r="BA5" s="11">
        <f t="shared" si="23"/>
        <v>0.64615384615384619</v>
      </c>
      <c r="BB5" s="11">
        <f t="shared" si="24"/>
        <v>3.3742331288343558E-2</v>
      </c>
      <c r="BC5" s="11">
        <f t="shared" si="25"/>
        <v>3.3742331288343558E-2</v>
      </c>
      <c r="BD5" s="11">
        <f t="shared" si="26"/>
        <v>0.74220764493282787</v>
      </c>
      <c r="BF5" s="11">
        <f>AU5
 * (1 - $BF$135 * POWER(1 - BA5, $BF$136))
 * (1 - $BF$137 * POWER(1 - BD5, $BF$138))</f>
        <v>9.7632613298054366E-2</v>
      </c>
      <c r="BG5" s="11">
        <f t="shared" si="28"/>
        <v>0.13390591222002901</v>
      </c>
      <c r="BI5" s="11">
        <v>0.13390591222002901</v>
      </c>
      <c r="BJ5" s="11">
        <v>0.45548287133119392</v>
      </c>
      <c r="BK5" s="11">
        <v>0.18327671380423399</v>
      </c>
      <c r="BM5" s="11">
        <f>BI5*$BI$135+BJ5*$BJ$135+BK5*$BK$135</f>
        <v>0.18334338868561725</v>
      </c>
      <c r="BN5" s="11">
        <f t="shared" si="31"/>
        <v>0.29589532437452498</v>
      </c>
      <c r="BP5" s="11">
        <f t="shared" si="32"/>
        <v>0.2947289546377409</v>
      </c>
      <c r="BQ5" s="11">
        <f t="shared" si="33"/>
        <v>0.47023631947607181</v>
      </c>
      <c r="BR5" s="9" t="s">
        <v>52</v>
      </c>
      <c r="BS5" s="9">
        <v>0.9</v>
      </c>
      <c r="BT5">
        <v>1</v>
      </c>
      <c r="BU5">
        <v>0.98</v>
      </c>
      <c r="BV5">
        <v>0.97</v>
      </c>
      <c r="BW5">
        <v>0.96</v>
      </c>
      <c r="BX5">
        <v>0.95</v>
      </c>
      <c r="BY5">
        <v>0.94</v>
      </c>
      <c r="BZ5">
        <v>0.93</v>
      </c>
      <c r="CA5">
        <v>0.92</v>
      </c>
      <c r="CB5">
        <v>0.91</v>
      </c>
      <c r="CC5">
        <v>0.9</v>
      </c>
      <c r="CD5">
        <v>0.89</v>
      </c>
      <c r="CE5">
        <v>0.88</v>
      </c>
    </row>
    <row r="6" spans="1:83" x14ac:dyDescent="0.35">
      <c r="A6" t="s">
        <v>57</v>
      </c>
      <c r="B6" t="s">
        <v>59</v>
      </c>
      <c r="D6" t="s">
        <v>52</v>
      </c>
      <c r="E6" t="s">
        <v>52</v>
      </c>
      <c r="F6">
        <v>0.5</v>
      </c>
      <c r="G6">
        <v>0.38</v>
      </c>
      <c r="H6">
        <v>0.15</v>
      </c>
      <c r="I6">
        <f t="shared" si="0"/>
        <v>5.6999999999999995E-2</v>
      </c>
      <c r="J6">
        <v>0.22</v>
      </c>
      <c r="K6">
        <v>0.1</v>
      </c>
      <c r="L6">
        <f t="shared" si="1"/>
        <v>2.2000000000000002E-2</v>
      </c>
      <c r="M6">
        <v>0.4</v>
      </c>
      <c r="N6" s="1">
        <f t="shared" si="2"/>
        <v>8.1508743953729663</v>
      </c>
      <c r="O6" s="1">
        <f t="shared" si="3"/>
        <v>3.150473851366109</v>
      </c>
      <c r="P6" s="1">
        <f t="shared" si="4"/>
        <v>5.6506741233695372</v>
      </c>
      <c r="Q6">
        <v>3</v>
      </c>
      <c r="S6">
        <f t="shared" si="5"/>
        <v>0.5</v>
      </c>
      <c r="T6" s="1">
        <f t="shared" si="6"/>
        <v>0.15893159811265478</v>
      </c>
      <c r="U6" s="1">
        <f t="shared" si="7"/>
        <v>0.22453354784774604</v>
      </c>
      <c r="V6" s="1">
        <f t="shared" si="8"/>
        <v>1</v>
      </c>
      <c r="W6" s="1">
        <f t="shared" si="9"/>
        <v>0.22453354784774604</v>
      </c>
      <c r="X6" s="1">
        <f t="shared" si="10"/>
        <v>0.2510421940777362</v>
      </c>
      <c r="Y6">
        <v>0.8</v>
      </c>
      <c r="Z6" s="1">
        <f t="shared" si="11"/>
        <v>2.44</v>
      </c>
      <c r="AA6" s="1">
        <f t="shared" si="12"/>
        <v>4.3730737735724542E-2</v>
      </c>
      <c r="AB6" s="1">
        <f t="shared" si="13"/>
        <v>0.15881477497397481</v>
      </c>
      <c r="AD6" s="1"/>
      <c r="AE6" s="1"/>
      <c r="AF6" s="1">
        <v>0.48</v>
      </c>
      <c r="AG6" s="1">
        <f t="shared" si="30"/>
        <v>9.4117647058823521E-3</v>
      </c>
      <c r="AH6" s="1">
        <v>1</v>
      </c>
      <c r="AI6" s="1">
        <v>0.12</v>
      </c>
      <c r="AJ6" s="1">
        <v>7</v>
      </c>
      <c r="AK6" s="1"/>
      <c r="AL6" s="1"/>
      <c r="AN6" s="1">
        <f t="shared" si="14"/>
        <v>0.16</v>
      </c>
      <c r="AO6" s="1">
        <f t="shared" si="15"/>
        <v>0.30816902908106358</v>
      </c>
      <c r="AP6" s="1">
        <f t="shared" si="16"/>
        <v>0.30816902908106358</v>
      </c>
      <c r="AQ6" s="1">
        <f t="shared" si="17"/>
        <v>1</v>
      </c>
      <c r="AR6" s="1">
        <f t="shared" si="18"/>
        <v>0.72727272727272729</v>
      </c>
      <c r="AS6" s="1">
        <f t="shared" si="19"/>
        <v>0.81302377588816965</v>
      </c>
      <c r="AT6" s="1">
        <f t="shared" si="20"/>
        <v>0.432761861000799</v>
      </c>
      <c r="AU6" s="11">
        <f t="shared" si="21"/>
        <v>6.8728977572160455E-2</v>
      </c>
      <c r="AW6" s="1">
        <v>42</v>
      </c>
      <c r="AX6" s="12">
        <v>240</v>
      </c>
      <c r="AZ6" s="11">
        <f t="shared" si="22"/>
        <v>0.64615384615384619</v>
      </c>
      <c r="BA6" s="11">
        <f t="shared" si="23"/>
        <v>0.64615384615384619</v>
      </c>
      <c r="BB6" s="11">
        <f t="shared" si="24"/>
        <v>0.7239263803680982</v>
      </c>
      <c r="BC6" s="11">
        <f t="shared" si="25"/>
        <v>0.7239263803680982</v>
      </c>
      <c r="BD6" s="11">
        <f t="shared" si="26"/>
        <v>0.12122486271479815</v>
      </c>
      <c r="BF6" s="11">
        <f t="shared" si="27"/>
        <v>4.9172886476204936E-2</v>
      </c>
      <c r="BG6" s="11">
        <f t="shared" si="28"/>
        <v>6.7442015507530886E-2</v>
      </c>
      <c r="BI6" s="11">
        <v>6.7442015507530886E-2</v>
      </c>
      <c r="BJ6" s="11">
        <v>1</v>
      </c>
      <c r="BK6" s="11">
        <v>0.38779392289538439</v>
      </c>
      <c r="BM6" s="11">
        <f t="shared" ref="BM6:BM69" si="34">BI6*$BI$135+BJ6*$BJ$135+BK6*$BK$135</f>
        <v>0.27282098154252654</v>
      </c>
      <c r="BN6" s="11">
        <f t="shared" si="31"/>
        <v>0.5992162761148907</v>
      </c>
      <c r="BP6" s="11">
        <f t="shared" si="32"/>
        <v>0.4385663604764552</v>
      </c>
      <c r="BQ6" s="11">
        <f t="shared" si="33"/>
        <v>0.9522734326608473</v>
      </c>
      <c r="BR6" s="9" t="s">
        <v>50</v>
      </c>
      <c r="BS6" s="9">
        <v>0.9</v>
      </c>
      <c r="BT6">
        <v>1</v>
      </c>
      <c r="BU6">
        <v>0.98</v>
      </c>
      <c r="BV6">
        <v>0.97</v>
      </c>
      <c r="BW6">
        <v>0.96</v>
      </c>
      <c r="BX6">
        <v>0.95</v>
      </c>
      <c r="BY6">
        <v>0.94</v>
      </c>
      <c r="BZ6">
        <v>0.93</v>
      </c>
      <c r="CA6">
        <v>0.92</v>
      </c>
      <c r="CB6">
        <v>0.91</v>
      </c>
      <c r="CC6">
        <v>0.9</v>
      </c>
      <c r="CD6">
        <v>0.89</v>
      </c>
      <c r="CE6">
        <v>0.88</v>
      </c>
    </row>
    <row r="7" spans="1:83" x14ac:dyDescent="0.35">
      <c r="A7" t="s">
        <v>57</v>
      </c>
      <c r="B7" t="s">
        <v>60</v>
      </c>
      <c r="D7" t="s">
        <v>52</v>
      </c>
      <c r="E7" t="s">
        <v>52</v>
      </c>
      <c r="F7">
        <v>0.5</v>
      </c>
      <c r="G7">
        <v>0.38</v>
      </c>
      <c r="H7">
        <v>0.9</v>
      </c>
      <c r="I7">
        <f t="shared" si="0"/>
        <v>0.34200000000000003</v>
      </c>
      <c r="J7">
        <v>0.22</v>
      </c>
      <c r="K7">
        <v>0.8</v>
      </c>
      <c r="L7">
        <f t="shared" si="1"/>
        <v>0.17600000000000002</v>
      </c>
      <c r="M7">
        <v>0.4</v>
      </c>
      <c r="N7" s="1">
        <f t="shared" si="2"/>
        <v>46.293415683765879</v>
      </c>
      <c r="O7" s="1">
        <f t="shared" si="3"/>
        <v>24.81483705480149</v>
      </c>
      <c r="P7" s="1">
        <f t="shared" si="4"/>
        <v>35.554126369283686</v>
      </c>
      <c r="Q7">
        <v>4</v>
      </c>
      <c r="S7">
        <f t="shared" si="5"/>
        <v>0.5</v>
      </c>
      <c r="T7" s="1">
        <f t="shared" si="6"/>
        <v>1</v>
      </c>
      <c r="U7" s="1">
        <f t="shared" si="7"/>
        <v>0.79810348195079261</v>
      </c>
      <c r="V7" s="1">
        <f t="shared" si="8"/>
        <v>1</v>
      </c>
      <c r="W7" s="1">
        <f t="shared" si="9"/>
        <v>0.79810348195079261</v>
      </c>
      <c r="X7" s="1">
        <f t="shared" si="10"/>
        <v>0.89232834527635241</v>
      </c>
      <c r="Y7">
        <v>0.8</v>
      </c>
      <c r="Z7" s="1">
        <f t="shared" si="11"/>
        <v>2.9519999999999995</v>
      </c>
      <c r="AA7" s="1">
        <f t="shared" si="12"/>
        <v>5.2907023686827391E-2</v>
      </c>
      <c r="AB7" s="1">
        <f t="shared" si="13"/>
        <v>0.23532930164647964</v>
      </c>
      <c r="AD7" s="1"/>
      <c r="AE7" s="1"/>
      <c r="AF7" s="10">
        <v>1.86</v>
      </c>
      <c r="AG7" s="1">
        <f t="shared" si="30"/>
        <v>3.6470588235294123E-2</v>
      </c>
      <c r="AH7" s="1">
        <v>1</v>
      </c>
      <c r="AI7" s="10">
        <v>1</v>
      </c>
      <c r="AJ7" s="1">
        <v>1</v>
      </c>
      <c r="AK7" s="1"/>
      <c r="AL7" s="1"/>
      <c r="AN7" s="1">
        <f t="shared" si="14"/>
        <v>0.46500000000000002</v>
      </c>
      <c r="AO7" s="1">
        <f t="shared" si="15"/>
        <v>0.65723221345354976</v>
      </c>
      <c r="AP7" s="1">
        <f t="shared" si="16"/>
        <v>0.65723221345354976</v>
      </c>
      <c r="AQ7" s="1">
        <f t="shared" si="17"/>
        <v>1</v>
      </c>
      <c r="AR7" s="1">
        <f t="shared" si="18"/>
        <v>1</v>
      </c>
      <c r="AS7" s="1">
        <f t="shared" si="19"/>
        <v>1</v>
      </c>
      <c r="AT7" s="1">
        <f t="shared" si="20"/>
        <v>0.76123236918347714</v>
      </c>
      <c r="AU7" s="11">
        <f t="shared" si="21"/>
        <v>0.17914028183064284</v>
      </c>
      <c r="AW7" s="1">
        <v>42</v>
      </c>
      <c r="AX7" s="12">
        <v>240</v>
      </c>
      <c r="AZ7" s="11">
        <f t="shared" si="22"/>
        <v>0.64615384615384619</v>
      </c>
      <c r="BA7" s="11">
        <f t="shared" si="23"/>
        <v>0.64615384615384619</v>
      </c>
      <c r="BB7" s="11">
        <f t="shared" si="24"/>
        <v>0.7239263803680982</v>
      </c>
      <c r="BC7" s="11">
        <f t="shared" si="25"/>
        <v>0.7239263803680982</v>
      </c>
      <c r="BD7" s="11">
        <f t="shared" si="26"/>
        <v>0.12122486271479815</v>
      </c>
      <c r="BF7" s="11">
        <f t="shared" si="27"/>
        <v>0.12816784205068246</v>
      </c>
      <c r="BG7" s="11">
        <f t="shared" si="28"/>
        <v>0.1757858488810034</v>
      </c>
      <c r="BI7" s="11">
        <v>0.1757858488810034</v>
      </c>
      <c r="BJ7" s="11">
        <v>0.80974938318328538</v>
      </c>
      <c r="BK7" s="11">
        <v>0.20242107272993889</v>
      </c>
      <c r="BM7" s="11">
        <f t="shared" si="34"/>
        <v>0.24850453065835904</v>
      </c>
      <c r="BN7" s="11">
        <f t="shared" si="31"/>
        <v>0.47039176766415774</v>
      </c>
      <c r="BP7" s="11">
        <f t="shared" si="32"/>
        <v>0.39947707451436548</v>
      </c>
      <c r="BQ7" s="11">
        <f t="shared" si="33"/>
        <v>0.74754575458672157</v>
      </c>
      <c r="BR7" s="9" t="s">
        <v>61</v>
      </c>
      <c r="BS7" s="9">
        <v>0.95</v>
      </c>
      <c r="BT7">
        <v>1</v>
      </c>
      <c r="BU7">
        <v>0.97</v>
      </c>
      <c r="BV7">
        <v>0.94</v>
      </c>
      <c r="BW7">
        <v>0.91</v>
      </c>
      <c r="BX7">
        <v>0.89</v>
      </c>
      <c r="BY7">
        <v>0.87</v>
      </c>
      <c r="BZ7">
        <v>0.86</v>
      </c>
      <c r="CA7">
        <v>0.85</v>
      </c>
      <c r="CB7">
        <v>0.84</v>
      </c>
      <c r="CC7">
        <v>0.83</v>
      </c>
      <c r="CD7">
        <v>0.82</v>
      </c>
      <c r="CE7">
        <v>0.81</v>
      </c>
    </row>
    <row r="8" spans="1:83" x14ac:dyDescent="0.35">
      <c r="A8" t="s">
        <v>57</v>
      </c>
      <c r="B8" t="s">
        <v>62</v>
      </c>
      <c r="D8" t="s">
        <v>52</v>
      </c>
      <c r="E8" t="s">
        <v>52</v>
      </c>
      <c r="F8">
        <v>0.5</v>
      </c>
      <c r="G8">
        <v>0.38</v>
      </c>
      <c r="H8">
        <v>0.8</v>
      </c>
      <c r="I8">
        <f t="shared" si="0"/>
        <v>0.30400000000000005</v>
      </c>
      <c r="J8">
        <v>0.22</v>
      </c>
      <c r="K8">
        <v>0.25</v>
      </c>
      <c r="L8">
        <f t="shared" si="1"/>
        <v>5.5E-2</v>
      </c>
      <c r="M8">
        <v>0.4</v>
      </c>
      <c r="N8" s="1">
        <f t="shared" si="2"/>
        <v>41.613582025422467</v>
      </c>
      <c r="O8" s="1">
        <f t="shared" si="3"/>
        <v>7.8657925444610752</v>
      </c>
      <c r="P8" s="1">
        <f t="shared" si="4"/>
        <v>24.73968728494177</v>
      </c>
      <c r="Q8">
        <v>3</v>
      </c>
      <c r="S8">
        <f t="shared" si="5"/>
        <v>0.5</v>
      </c>
      <c r="T8" s="1">
        <f t="shared" si="6"/>
        <v>0.69583167444426797</v>
      </c>
      <c r="U8" s="1">
        <f t="shared" si="7"/>
        <v>0.67153686806973045</v>
      </c>
      <c r="V8" s="1">
        <f t="shared" si="8"/>
        <v>1</v>
      </c>
      <c r="W8" s="1">
        <f t="shared" si="9"/>
        <v>0.67153686806973045</v>
      </c>
      <c r="X8" s="1">
        <f t="shared" si="10"/>
        <v>0.75081915544590072</v>
      </c>
      <c r="Y8">
        <v>0.8</v>
      </c>
      <c r="Z8" s="1">
        <f t="shared" si="11"/>
        <v>2.44</v>
      </c>
      <c r="AA8" s="1">
        <f t="shared" si="12"/>
        <v>4.3730737735724542E-2</v>
      </c>
      <c r="AB8" s="1">
        <f t="shared" si="13"/>
        <v>0.20885172138149272</v>
      </c>
      <c r="AD8" s="1"/>
      <c r="AE8" s="1"/>
      <c r="AF8" s="10">
        <v>1.72</v>
      </c>
      <c r="AG8" s="1">
        <f t="shared" si="30"/>
        <v>3.3725490196078428E-2</v>
      </c>
      <c r="AH8" s="1">
        <v>1</v>
      </c>
      <c r="AI8" s="10">
        <v>0.69</v>
      </c>
      <c r="AJ8" s="1">
        <v>1.5</v>
      </c>
      <c r="AK8" s="1"/>
      <c r="AL8" s="1"/>
      <c r="AN8" s="1">
        <f t="shared" si="14"/>
        <v>0.57333333333333336</v>
      </c>
      <c r="AO8" s="1">
        <f t="shared" si="15"/>
        <v>0.73290444124410159</v>
      </c>
      <c r="AP8" s="1">
        <f t="shared" si="16"/>
        <v>0.73290444124410159</v>
      </c>
      <c r="AQ8" s="1">
        <f t="shared" si="17"/>
        <v>1</v>
      </c>
      <c r="AR8" s="1">
        <f t="shared" si="18"/>
        <v>0.90909090909090906</v>
      </c>
      <c r="AS8" s="1">
        <f t="shared" si="19"/>
        <v>0.93992836236445954</v>
      </c>
      <c r="AT8" s="1">
        <f t="shared" si="20"/>
        <v>0.79958372150154911</v>
      </c>
      <c r="AU8" s="11">
        <f t="shared" si="21"/>
        <v>0.16699443662421859</v>
      </c>
      <c r="AW8" s="1">
        <v>42</v>
      </c>
      <c r="AX8" s="12">
        <v>240</v>
      </c>
      <c r="AZ8" s="11">
        <f t="shared" si="22"/>
        <v>0.64615384615384619</v>
      </c>
      <c r="BA8" s="11">
        <f t="shared" si="23"/>
        <v>0.64615384615384619</v>
      </c>
      <c r="BB8" s="11">
        <f t="shared" si="24"/>
        <v>0.7239263803680982</v>
      </c>
      <c r="BC8" s="11">
        <f t="shared" si="25"/>
        <v>0.7239263803680982</v>
      </c>
      <c r="BD8" s="11">
        <f t="shared" si="26"/>
        <v>0.12122486271479815</v>
      </c>
      <c r="BF8" s="11">
        <f t="shared" si="27"/>
        <v>0.11947796641756989</v>
      </c>
      <c r="BG8" s="11">
        <f t="shared" si="28"/>
        <v>0.16386743673957882</v>
      </c>
      <c r="BI8" s="11">
        <v>0.16386743673957882</v>
      </c>
      <c r="BJ8" s="11">
        <v>0.80974938318328538</v>
      </c>
      <c r="BK8" s="11">
        <v>0.20242107272993889</v>
      </c>
      <c r="BM8" s="11">
        <f t="shared" si="34"/>
        <v>0.24194940398057552</v>
      </c>
      <c r="BN8" s="11">
        <f t="shared" si="31"/>
        <v>0.46800808523587278</v>
      </c>
      <c r="BP8" s="11">
        <f t="shared" si="32"/>
        <v>0.3889395490158381</v>
      </c>
      <c r="BQ8" s="11">
        <f t="shared" si="33"/>
        <v>0.74375761074144142</v>
      </c>
    </row>
    <row r="9" spans="1:83" x14ac:dyDescent="0.35">
      <c r="A9" t="s">
        <v>57</v>
      </c>
      <c r="B9" t="s">
        <v>63</v>
      </c>
      <c r="D9" t="s">
        <v>52</v>
      </c>
      <c r="E9" t="s">
        <v>52</v>
      </c>
      <c r="F9">
        <v>0.5</v>
      </c>
      <c r="G9">
        <v>0.38</v>
      </c>
      <c r="H9">
        <v>0.3</v>
      </c>
      <c r="I9">
        <f t="shared" si="0"/>
        <v>0.11399999999999999</v>
      </c>
      <c r="J9">
        <v>0.22</v>
      </c>
      <c r="K9">
        <v>0.2</v>
      </c>
      <c r="L9">
        <f t="shared" si="1"/>
        <v>4.4000000000000004E-2</v>
      </c>
      <c r="M9">
        <v>0.4</v>
      </c>
      <c r="N9" s="1">
        <f t="shared" si="2"/>
        <v>16.220095658838193</v>
      </c>
      <c r="O9" s="1">
        <f t="shared" si="3"/>
        <v>6.2961921991255183</v>
      </c>
      <c r="P9" s="1">
        <f t="shared" si="4"/>
        <v>11.258143928981855</v>
      </c>
      <c r="Q9">
        <v>3</v>
      </c>
      <c r="S9">
        <f t="shared" si="5"/>
        <v>0.5</v>
      </c>
      <c r="T9" s="1">
        <f t="shared" si="6"/>
        <v>0.31664802594356856</v>
      </c>
      <c r="U9" s="1">
        <f t="shared" si="7"/>
        <v>0.39748145946834723</v>
      </c>
      <c r="V9" s="1">
        <f t="shared" si="8"/>
        <v>1</v>
      </c>
      <c r="W9" s="1">
        <f t="shared" si="9"/>
        <v>0.39748145946834723</v>
      </c>
      <c r="X9" s="1">
        <f t="shared" si="10"/>
        <v>0.44440850218880262</v>
      </c>
      <c r="Y9">
        <v>0.8</v>
      </c>
      <c r="Z9" s="1">
        <f t="shared" si="11"/>
        <v>2.44</v>
      </c>
      <c r="AA9" s="1">
        <f t="shared" si="12"/>
        <v>4.3730737735724542E-2</v>
      </c>
      <c r="AB9" s="1">
        <f>POWER(PRODUCT(POWER(S9,$S$129),POWER(X9,$X$129),POWER(AA9,$AA$129)),1/SUM($S$129,$X$129,$AA$129))</f>
        <v>0.18318917755489958</v>
      </c>
      <c r="AD9" s="1"/>
      <c r="AE9" s="1"/>
      <c r="AF9" s="10">
        <v>0.54</v>
      </c>
      <c r="AG9" s="1">
        <f t="shared" si="30"/>
        <v>1.0588235294117648E-2</v>
      </c>
      <c r="AH9" s="1">
        <v>1</v>
      </c>
      <c r="AI9" s="10">
        <v>0.23</v>
      </c>
      <c r="AJ9" s="1">
        <v>5</v>
      </c>
      <c r="AK9" s="1"/>
      <c r="AL9" s="1"/>
      <c r="AN9" s="1">
        <f t="shared" si="14"/>
        <v>0.18000000000000002</v>
      </c>
      <c r="AO9" s="1">
        <f t="shared" si="15"/>
        <v>0.33930655199240412</v>
      </c>
      <c r="AP9" s="1">
        <f t="shared" si="16"/>
        <v>0.33930655199240412</v>
      </c>
      <c r="AQ9" s="1">
        <f t="shared" si="17"/>
        <v>1</v>
      </c>
      <c r="AR9" s="1">
        <f t="shared" si="18"/>
        <v>0.75</v>
      </c>
      <c r="AS9" s="1">
        <f t="shared" si="19"/>
        <v>0.82944925461525454</v>
      </c>
      <c r="AT9" s="1">
        <f t="shared" si="20"/>
        <v>0.4639395503926525</v>
      </c>
      <c r="AU9" s="11">
        <f t="shared" si="21"/>
        <v>8.4988704671619897E-2</v>
      </c>
      <c r="AW9" s="1">
        <v>42</v>
      </c>
      <c r="AX9" s="12">
        <v>240</v>
      </c>
      <c r="AZ9" s="11">
        <f t="shared" si="22"/>
        <v>0.64615384615384619</v>
      </c>
      <c r="BA9" s="11">
        <f t="shared" si="23"/>
        <v>0.64615384615384619</v>
      </c>
      <c r="BB9" s="11">
        <f t="shared" si="24"/>
        <v>0.7239263803680982</v>
      </c>
      <c r="BC9" s="11">
        <f t="shared" si="25"/>
        <v>0.7239263803680982</v>
      </c>
      <c r="BD9" s="11">
        <f t="shared" si="26"/>
        <v>0.12122486271479815</v>
      </c>
      <c r="BF9" s="11">
        <f t="shared" si="27"/>
        <v>6.0806083171970345E-2</v>
      </c>
      <c r="BG9" s="11">
        <f t="shared" si="28"/>
        <v>8.3397276387683295E-2</v>
      </c>
      <c r="BI9" s="11">
        <v>8.3397276387683295E-2</v>
      </c>
      <c r="BJ9" s="11">
        <v>1</v>
      </c>
      <c r="BK9" s="11">
        <v>0.2573374279804797</v>
      </c>
      <c r="BM9" s="11">
        <f t="shared" si="34"/>
        <v>0.2359366018063937</v>
      </c>
      <c r="BN9" s="11">
        <f t="shared" si="31"/>
        <v>0.55674755507070461</v>
      </c>
      <c r="BP9" s="11">
        <f t="shared" si="32"/>
        <v>0.37927382334149223</v>
      </c>
      <c r="BQ9" s="11">
        <f t="shared" si="33"/>
        <v>0.88478221724915351</v>
      </c>
    </row>
    <row r="10" spans="1:83" x14ac:dyDescent="0.35">
      <c r="A10" t="s">
        <v>64</v>
      </c>
      <c r="B10" t="s">
        <v>56</v>
      </c>
      <c r="C10">
        <v>30</v>
      </c>
      <c r="D10" t="s">
        <v>56</v>
      </c>
      <c r="E10" t="s">
        <v>65</v>
      </c>
      <c r="F10">
        <v>0.7</v>
      </c>
      <c r="N10" s="1">
        <v>40</v>
      </c>
      <c r="O10" s="1">
        <v>40</v>
      </c>
      <c r="P10" s="1">
        <f t="shared" ref="P10:P15" si="35">AVERAGE(N10:O10)*0.7*0.9</f>
        <v>25.2</v>
      </c>
      <c r="Q10">
        <v>30</v>
      </c>
      <c r="S10">
        <f t="shared" si="5"/>
        <v>0.7</v>
      </c>
      <c r="T10" s="1">
        <f t="shared" si="6"/>
        <v>0.70877848996371517</v>
      </c>
      <c r="U10" s="1">
        <f t="shared" si="7"/>
        <v>0.67827096173007972</v>
      </c>
      <c r="V10" s="1">
        <f t="shared" si="8"/>
        <v>1</v>
      </c>
      <c r="W10" s="1">
        <f t="shared" si="9"/>
        <v>0.67827096173007972</v>
      </c>
      <c r="X10" s="1">
        <f t="shared" si="10"/>
        <v>0.75834828266908694</v>
      </c>
      <c r="Y10">
        <v>0.97</v>
      </c>
      <c r="Z10" s="1">
        <f t="shared" si="11"/>
        <v>19.966431048561397</v>
      </c>
      <c r="AA10" s="1">
        <f t="shared" si="12"/>
        <v>0.35784703266519102</v>
      </c>
      <c r="AB10" s="1">
        <f t="shared" si="13"/>
        <v>0.5460475451924327</v>
      </c>
      <c r="AD10" s="1">
        <v>30</v>
      </c>
      <c r="AE10" s="1">
        <v>0.9</v>
      </c>
      <c r="AF10" s="1">
        <f>AD10*AE10</f>
        <v>27</v>
      </c>
      <c r="AG10" s="1">
        <f t="shared" si="30"/>
        <v>0.52941176470588236</v>
      </c>
      <c r="AH10" s="1">
        <v>0.92</v>
      </c>
      <c r="AI10" s="1">
        <v>0.85</v>
      </c>
      <c r="AJ10" s="1">
        <v>1</v>
      </c>
      <c r="AK10" s="1"/>
      <c r="AL10" s="1"/>
      <c r="AN10" s="1">
        <f t="shared" si="14"/>
        <v>0.9</v>
      </c>
      <c r="AO10" s="1">
        <f t="shared" si="15"/>
        <v>0.89921980078193098</v>
      </c>
      <c r="AP10" s="1">
        <f t="shared" si="16"/>
        <v>0.89921980078193098</v>
      </c>
      <c r="AQ10" s="1">
        <f t="shared" si="17"/>
        <v>0.92</v>
      </c>
      <c r="AR10" s="1">
        <f t="shared" si="18"/>
        <v>1</v>
      </c>
      <c r="AS10" s="1">
        <f t="shared" si="19"/>
        <v>0.97123816458629042</v>
      </c>
      <c r="AT10" s="1">
        <f t="shared" si="20"/>
        <v>0.92379757698930953</v>
      </c>
      <c r="AU10" s="11">
        <f t="shared" si="21"/>
        <v>0.50443739916972985</v>
      </c>
      <c r="AW10" s="1">
        <v>42</v>
      </c>
      <c r="AX10" s="12">
        <v>8</v>
      </c>
      <c r="AZ10" s="11">
        <f t="shared" si="22"/>
        <v>0.64615384615384619</v>
      </c>
      <c r="BA10" s="11">
        <f t="shared" si="23"/>
        <v>0.64615384615384619</v>
      </c>
      <c r="BB10" s="11">
        <f t="shared" si="24"/>
        <v>1.2269938650306749E-2</v>
      </c>
      <c r="BC10" s="11">
        <f t="shared" si="25"/>
        <v>1.2269938650306749E-2</v>
      </c>
      <c r="BD10" s="11">
        <f t="shared" si="26"/>
        <v>0.82799662978694943</v>
      </c>
      <c r="BF10" s="11">
        <f t="shared" si="27"/>
        <v>0.4404135865362423</v>
      </c>
      <c r="BG10" s="11">
        <f t="shared" si="28"/>
        <v>0.60403978821291515</v>
      </c>
      <c r="BI10" s="11">
        <v>0.60403978821291515</v>
      </c>
      <c r="BJ10" s="11">
        <v>0.80974938318328538</v>
      </c>
      <c r="BK10" s="11">
        <v>0.10049306144334057</v>
      </c>
      <c r="BM10" s="11">
        <f t="shared" si="34"/>
        <v>0.44836939334060111</v>
      </c>
      <c r="BN10" s="11">
        <f t="shared" si="31"/>
        <v>0.52036775158023063</v>
      </c>
      <c r="BP10" s="11">
        <f t="shared" si="32"/>
        <v>0.72076470026104633</v>
      </c>
      <c r="BQ10" s="11">
        <f t="shared" si="33"/>
        <v>0.82696749870709851</v>
      </c>
    </row>
    <row r="11" spans="1:83" x14ac:dyDescent="0.35">
      <c r="A11" t="s">
        <v>64</v>
      </c>
      <c r="B11" t="s">
        <v>56</v>
      </c>
      <c r="C11">
        <v>25</v>
      </c>
      <c r="D11" t="s">
        <v>56</v>
      </c>
      <c r="E11" t="s">
        <v>66</v>
      </c>
      <c r="F11">
        <v>0.7</v>
      </c>
      <c r="N11" s="1">
        <v>40</v>
      </c>
      <c r="O11" s="1">
        <v>40</v>
      </c>
      <c r="P11" s="1">
        <f t="shared" si="35"/>
        <v>25.2</v>
      </c>
      <c r="Q11">
        <v>25</v>
      </c>
      <c r="S11">
        <f t="shared" si="5"/>
        <v>0.7</v>
      </c>
      <c r="T11" s="1">
        <f t="shared" si="6"/>
        <v>0.70877848996371517</v>
      </c>
      <c r="U11" s="1">
        <f t="shared" si="7"/>
        <v>0.67827096173007972</v>
      </c>
      <c r="V11" s="1">
        <f t="shared" si="8"/>
        <v>1</v>
      </c>
      <c r="W11" s="1">
        <f t="shared" si="9"/>
        <v>0.67827096173007972</v>
      </c>
      <c r="X11" s="1">
        <f t="shared" si="10"/>
        <v>0.75834828266908694</v>
      </c>
      <c r="Y11">
        <v>0.96499999999999997</v>
      </c>
      <c r="Z11" s="1">
        <f t="shared" si="11"/>
        <v>16.846376253405058</v>
      </c>
      <c r="AA11" s="1">
        <f t="shared" si="12"/>
        <v>0.30192805808811252</v>
      </c>
      <c r="AB11" s="1">
        <f t="shared" si="13"/>
        <v>0.51016760783778803</v>
      </c>
      <c r="AD11" s="1">
        <v>25</v>
      </c>
      <c r="AE11" s="1">
        <v>0.95</v>
      </c>
      <c r="AF11" s="1">
        <f>AD11*AE11</f>
        <v>23.75</v>
      </c>
      <c r="AG11" s="1">
        <f t="shared" si="30"/>
        <v>0.46568627450980393</v>
      </c>
      <c r="AH11" s="1">
        <v>0.92</v>
      </c>
      <c r="AI11" s="1">
        <v>0.85</v>
      </c>
      <c r="AJ11" s="1">
        <v>1</v>
      </c>
      <c r="AK11" s="1"/>
      <c r="AL11" s="1"/>
      <c r="AN11" s="1">
        <f t="shared" si="14"/>
        <v>0.95</v>
      </c>
      <c r="AO11" s="1">
        <f t="shared" si="15"/>
        <v>0.91012257351047809</v>
      </c>
      <c r="AP11" s="1">
        <f t="shared" si="16"/>
        <v>0.91012257351047809</v>
      </c>
      <c r="AQ11" s="1">
        <f t="shared" si="17"/>
        <v>0.92</v>
      </c>
      <c r="AR11" s="1">
        <f t="shared" si="18"/>
        <v>1</v>
      </c>
      <c r="AS11" s="1">
        <f t="shared" si="19"/>
        <v>0.97123816458629042</v>
      </c>
      <c r="AT11" s="1">
        <f t="shared" si="20"/>
        <v>0.93106271386741313</v>
      </c>
      <c r="AU11" s="11">
        <f t="shared" si="21"/>
        <v>0.47499803748069708</v>
      </c>
      <c r="AW11" s="1">
        <v>42</v>
      </c>
      <c r="AX11" s="12">
        <v>8</v>
      </c>
      <c r="AZ11" s="11">
        <f t="shared" si="22"/>
        <v>0.64615384615384619</v>
      </c>
      <c r="BA11" s="11">
        <f t="shared" si="23"/>
        <v>0.64615384615384619</v>
      </c>
      <c r="BB11" s="11">
        <f t="shared" si="24"/>
        <v>1.2269938650306749E-2</v>
      </c>
      <c r="BC11" s="11">
        <f t="shared" si="25"/>
        <v>1.2269938650306749E-2</v>
      </c>
      <c r="BD11" s="11">
        <f t="shared" si="26"/>
        <v>0.82799662978694943</v>
      </c>
      <c r="BF11" s="11">
        <f t="shared" si="27"/>
        <v>0.41471070469571075</v>
      </c>
      <c r="BG11" s="11">
        <f t="shared" si="28"/>
        <v>0.56878755309110285</v>
      </c>
      <c r="BI11" s="11">
        <v>0.56878755309110285</v>
      </c>
      <c r="BJ11" s="11">
        <v>0.80974938318328538</v>
      </c>
      <c r="BK11" s="11">
        <v>0.10049306144334057</v>
      </c>
      <c r="BM11" s="11">
        <f t="shared" si="34"/>
        <v>0.42898066402360435</v>
      </c>
      <c r="BN11" s="11">
        <f t="shared" si="31"/>
        <v>0.51331730455586821</v>
      </c>
      <c r="BP11" s="11">
        <f t="shared" si="32"/>
        <v>0.68959684651775588</v>
      </c>
      <c r="BQ11" s="11">
        <f t="shared" si="33"/>
        <v>0.81576294092503365</v>
      </c>
    </row>
    <row r="12" spans="1:83" x14ac:dyDescent="0.35">
      <c r="A12" t="s">
        <v>64</v>
      </c>
      <c r="B12" t="s">
        <v>56</v>
      </c>
      <c r="C12">
        <v>20</v>
      </c>
      <c r="D12" t="s">
        <v>56</v>
      </c>
      <c r="E12" t="s">
        <v>67</v>
      </c>
      <c r="F12">
        <v>0.7</v>
      </c>
      <c r="N12" s="1">
        <v>40</v>
      </c>
      <c r="O12" s="1">
        <v>40</v>
      </c>
      <c r="P12" s="1">
        <f t="shared" si="35"/>
        <v>25.2</v>
      </c>
      <c r="Q12">
        <v>20</v>
      </c>
      <c r="S12">
        <f t="shared" si="5"/>
        <v>0.7</v>
      </c>
      <c r="T12" s="1">
        <f t="shared" si="6"/>
        <v>0.70877848996371517</v>
      </c>
      <c r="U12" s="1">
        <f t="shared" si="7"/>
        <v>0.67827096173007972</v>
      </c>
      <c r="V12" s="1">
        <f t="shared" si="8"/>
        <v>1</v>
      </c>
      <c r="W12" s="1">
        <f t="shared" si="9"/>
        <v>0.67827096173007972</v>
      </c>
      <c r="X12" s="1">
        <f t="shared" si="10"/>
        <v>0.75834828266908694</v>
      </c>
      <c r="Y12">
        <v>0.96</v>
      </c>
      <c r="Z12" s="1">
        <f t="shared" si="11"/>
        <v>13.949939153014794</v>
      </c>
      <c r="AA12" s="1">
        <f t="shared" si="12"/>
        <v>0.25001685677451041</v>
      </c>
      <c r="AB12" s="1">
        <f t="shared" si="13"/>
        <v>0.47308503167737342</v>
      </c>
      <c r="AD12" s="1">
        <v>20</v>
      </c>
      <c r="AE12" s="1">
        <v>0.95</v>
      </c>
      <c r="AF12" s="1">
        <f>AD12*AE12</f>
        <v>19</v>
      </c>
      <c r="AG12" s="1">
        <f t="shared" si="30"/>
        <v>0.37254901960784315</v>
      </c>
      <c r="AH12" s="1">
        <v>0.92</v>
      </c>
      <c r="AI12" s="1">
        <v>0.85</v>
      </c>
      <c r="AJ12" s="1">
        <v>1</v>
      </c>
      <c r="AK12" s="1"/>
      <c r="AL12" s="1"/>
      <c r="AN12" s="1">
        <f t="shared" si="14"/>
        <v>0.95</v>
      </c>
      <c r="AO12" s="1">
        <f t="shared" si="15"/>
        <v>0.90990026943675517</v>
      </c>
      <c r="AP12" s="1">
        <f t="shared" si="16"/>
        <v>0.90990026943675517</v>
      </c>
      <c r="AQ12" s="1">
        <f t="shared" si="17"/>
        <v>0.92</v>
      </c>
      <c r="AR12" s="1">
        <f t="shared" si="18"/>
        <v>1</v>
      </c>
      <c r="AS12" s="1">
        <f t="shared" si="19"/>
        <v>0.97123816458629042</v>
      </c>
      <c r="AT12" s="1">
        <f t="shared" si="20"/>
        <v>0.93091488529186894</v>
      </c>
      <c r="AU12" s="11">
        <f t="shared" si="21"/>
        <v>0.44040189799724228</v>
      </c>
      <c r="AW12" s="1">
        <v>42</v>
      </c>
      <c r="AX12" s="12">
        <v>8</v>
      </c>
      <c r="AZ12" s="11">
        <f t="shared" si="22"/>
        <v>0.64615384615384619</v>
      </c>
      <c r="BA12" s="11">
        <f t="shared" si="23"/>
        <v>0.64615384615384619</v>
      </c>
      <c r="BB12" s="11">
        <f t="shared" si="24"/>
        <v>1.2269938650306749E-2</v>
      </c>
      <c r="BC12" s="11">
        <f t="shared" si="25"/>
        <v>1.2269938650306749E-2</v>
      </c>
      <c r="BD12" s="11">
        <f t="shared" si="26"/>
        <v>0.82799662978694943</v>
      </c>
      <c r="BF12" s="11">
        <f t="shared" si="27"/>
        <v>0.3845055496154276</v>
      </c>
      <c r="BG12" s="11">
        <f t="shared" si="28"/>
        <v>0.52736032188071624</v>
      </c>
      <c r="BI12" s="11">
        <v>0.52736032188071624</v>
      </c>
      <c r="BJ12" s="11">
        <v>0.80974938318328538</v>
      </c>
      <c r="BK12" s="11">
        <v>0.10049306144334057</v>
      </c>
      <c r="BM12" s="11">
        <f t="shared" si="34"/>
        <v>0.40619568685789165</v>
      </c>
      <c r="BN12" s="11">
        <f t="shared" si="31"/>
        <v>0.50503185831379094</v>
      </c>
      <c r="BP12" s="11">
        <f t="shared" si="32"/>
        <v>0.65296944179027849</v>
      </c>
      <c r="BQ12" s="11">
        <f t="shared" si="33"/>
        <v>0.80259572459835782</v>
      </c>
    </row>
    <row r="13" spans="1:83" x14ac:dyDescent="0.35">
      <c r="A13" t="s">
        <v>64</v>
      </c>
      <c r="B13" t="s">
        <v>56</v>
      </c>
      <c r="C13">
        <v>15</v>
      </c>
      <c r="D13" t="s">
        <v>56</v>
      </c>
      <c r="E13" t="s">
        <v>68</v>
      </c>
      <c r="F13">
        <v>0.7</v>
      </c>
      <c r="N13" s="1">
        <v>40</v>
      </c>
      <c r="O13" s="1">
        <v>40</v>
      </c>
      <c r="P13" s="1">
        <f t="shared" si="35"/>
        <v>25.2</v>
      </c>
      <c r="Q13">
        <v>15</v>
      </c>
      <c r="S13">
        <f t="shared" si="5"/>
        <v>0.7</v>
      </c>
      <c r="T13" s="1">
        <f t="shared" si="6"/>
        <v>0.70877848996371517</v>
      </c>
      <c r="U13" s="1">
        <f t="shared" si="7"/>
        <v>0.67827096173007972</v>
      </c>
      <c r="V13" s="1">
        <f t="shared" si="8"/>
        <v>1</v>
      </c>
      <c r="W13" s="1">
        <f t="shared" si="9"/>
        <v>0.67827096173007972</v>
      </c>
      <c r="X13" s="1">
        <f t="shared" si="10"/>
        <v>0.75834828266908694</v>
      </c>
      <c r="Y13">
        <v>0.95</v>
      </c>
      <c r="Z13" s="1">
        <f t="shared" si="11"/>
        <v>10.734175396804924</v>
      </c>
      <c r="AA13" s="1">
        <f t="shared" si="12"/>
        <v>0.19238254470776356</v>
      </c>
      <c r="AB13" s="1">
        <f t="shared" si="13"/>
        <v>0.42600800207468387</v>
      </c>
      <c r="AD13" s="1">
        <v>15</v>
      </c>
      <c r="AE13" s="1">
        <v>0.98</v>
      </c>
      <c r="AF13" s="1">
        <f>AD13*AE13</f>
        <v>14.7</v>
      </c>
      <c r="AG13" s="1">
        <f t="shared" si="30"/>
        <v>0.28823529411764703</v>
      </c>
      <c r="AH13" s="1">
        <v>0.92</v>
      </c>
      <c r="AI13" s="1">
        <v>0.85</v>
      </c>
      <c r="AJ13" s="1">
        <v>1</v>
      </c>
      <c r="AK13" s="1"/>
      <c r="AL13" s="1"/>
      <c r="AN13" s="1">
        <f t="shared" si="14"/>
        <v>0.98</v>
      </c>
      <c r="AO13" s="1">
        <f t="shared" si="15"/>
        <v>0.91602323460685031</v>
      </c>
      <c r="AP13" s="1">
        <f t="shared" si="16"/>
        <v>0.91602323460685031</v>
      </c>
      <c r="AQ13" s="1">
        <f t="shared" si="17"/>
        <v>0.92</v>
      </c>
      <c r="AR13" s="1">
        <f t="shared" si="18"/>
        <v>1</v>
      </c>
      <c r="AS13" s="1">
        <f t="shared" si="19"/>
        <v>0.97123816458629042</v>
      </c>
      <c r="AT13" s="1">
        <f t="shared" si="20"/>
        <v>0.93498195049333799</v>
      </c>
      <c r="AU13" s="11">
        <f t="shared" si="21"/>
        <v>0.39830979270555789</v>
      </c>
      <c r="AW13" s="1">
        <v>42</v>
      </c>
      <c r="AX13" s="12">
        <v>8</v>
      </c>
      <c r="AZ13" s="11">
        <f t="shared" si="22"/>
        <v>0.64615384615384619</v>
      </c>
      <c r="BA13" s="11">
        <f t="shared" si="23"/>
        <v>0.64615384615384619</v>
      </c>
      <c r="BB13" s="11">
        <f t="shared" si="24"/>
        <v>1.2269938650306749E-2</v>
      </c>
      <c r="BC13" s="11">
        <f t="shared" si="25"/>
        <v>1.2269938650306749E-2</v>
      </c>
      <c r="BD13" s="11">
        <f t="shared" si="26"/>
        <v>0.82799662978694943</v>
      </c>
      <c r="BF13" s="11">
        <f t="shared" si="27"/>
        <v>0.34775582588977982</v>
      </c>
      <c r="BG13" s="11">
        <f t="shared" si="28"/>
        <v>0.47695702821598579</v>
      </c>
      <c r="BI13" s="11">
        <v>0.47695702821598579</v>
      </c>
      <c r="BJ13" s="11">
        <v>0.80974938318328538</v>
      </c>
      <c r="BK13" s="11">
        <v>0.10049306144334057</v>
      </c>
      <c r="BM13" s="11">
        <f t="shared" si="34"/>
        <v>0.37847387534228993</v>
      </c>
      <c r="BN13" s="11">
        <f t="shared" si="31"/>
        <v>0.49495119958084477</v>
      </c>
      <c r="BP13" s="11">
        <f t="shared" si="32"/>
        <v>0.60840595582423818</v>
      </c>
      <c r="BQ13" s="11">
        <f t="shared" si="33"/>
        <v>0.78657555979685201</v>
      </c>
    </row>
    <row r="14" spans="1:83" x14ac:dyDescent="0.35">
      <c r="A14" t="s">
        <v>64</v>
      </c>
      <c r="B14" t="s">
        <v>56</v>
      </c>
      <c r="C14">
        <v>10</v>
      </c>
      <c r="D14" t="s">
        <v>56</v>
      </c>
      <c r="E14" t="s">
        <v>69</v>
      </c>
      <c r="F14">
        <v>0.7</v>
      </c>
      <c r="N14" s="1">
        <v>40</v>
      </c>
      <c r="O14" s="1">
        <v>40</v>
      </c>
      <c r="P14" s="1">
        <f t="shared" si="35"/>
        <v>25.2</v>
      </c>
      <c r="Q14">
        <v>10</v>
      </c>
      <c r="S14">
        <f t="shared" si="5"/>
        <v>0.7</v>
      </c>
      <c r="T14" s="1">
        <f t="shared" si="6"/>
        <v>0.70877848996371517</v>
      </c>
      <c r="U14" s="1">
        <f t="shared" si="7"/>
        <v>0.67827096173007972</v>
      </c>
      <c r="V14" s="1">
        <f t="shared" si="8"/>
        <v>1</v>
      </c>
      <c r="W14" s="1">
        <f t="shared" si="9"/>
        <v>0.67827096173007972</v>
      </c>
      <c r="X14" s="1">
        <f t="shared" si="10"/>
        <v>0.75834828266908694</v>
      </c>
      <c r="Y14">
        <v>0.9</v>
      </c>
      <c r="Z14" s="1">
        <f t="shared" si="11"/>
        <v>6.5132155989999996</v>
      </c>
      <c r="AA14" s="1">
        <f t="shared" si="12"/>
        <v>0.11673267343282748</v>
      </c>
      <c r="AB14" s="1">
        <f t="shared" si="13"/>
        <v>0.34884175576242421</v>
      </c>
      <c r="AD14" s="1">
        <v>10</v>
      </c>
      <c r="AE14" s="1">
        <v>0.98</v>
      </c>
      <c r="AF14" s="1">
        <f>AD14*AE14</f>
        <v>9.8000000000000007</v>
      </c>
      <c r="AG14" s="1">
        <f t="shared" si="30"/>
        <v>0.19215686274509805</v>
      </c>
      <c r="AH14" s="1">
        <v>0.92</v>
      </c>
      <c r="AI14" s="1">
        <v>0.85</v>
      </c>
      <c r="AJ14" s="1">
        <v>1</v>
      </c>
      <c r="AK14" s="1"/>
      <c r="AL14" s="1"/>
      <c r="AN14" s="1">
        <f t="shared" si="14"/>
        <v>0.98000000000000009</v>
      </c>
      <c r="AO14" s="1">
        <f t="shared" si="15"/>
        <v>0.9159391547391813</v>
      </c>
      <c r="AP14" s="1">
        <f t="shared" si="16"/>
        <v>0.9159391547391813</v>
      </c>
      <c r="AQ14" s="1">
        <f t="shared" si="17"/>
        <v>0.92</v>
      </c>
      <c r="AR14" s="1">
        <f t="shared" si="18"/>
        <v>1</v>
      </c>
      <c r="AS14" s="1">
        <f t="shared" si="19"/>
        <v>0.97123816458629042</v>
      </c>
      <c r="AT14" s="1">
        <f t="shared" si="20"/>
        <v>0.9349261665655626</v>
      </c>
      <c r="AU14" s="11">
        <f t="shared" si="21"/>
        <v>0.3261412854529635</v>
      </c>
      <c r="AW14" s="1">
        <v>42</v>
      </c>
      <c r="AX14" s="12">
        <v>8</v>
      </c>
      <c r="AZ14" s="11">
        <f t="shared" si="22"/>
        <v>0.64615384615384619</v>
      </c>
      <c r="BA14" s="11">
        <f t="shared" si="23"/>
        <v>0.64615384615384619</v>
      </c>
      <c r="BB14" s="11">
        <f t="shared" si="24"/>
        <v>1.2269938650306749E-2</v>
      </c>
      <c r="BC14" s="11">
        <f t="shared" si="25"/>
        <v>1.2269938650306749E-2</v>
      </c>
      <c r="BD14" s="11">
        <f t="shared" si="26"/>
        <v>0.82799662978694943</v>
      </c>
      <c r="BF14" s="11">
        <f t="shared" si="27"/>
        <v>0.28474703398339812</v>
      </c>
      <c r="BG14" s="11">
        <f t="shared" si="28"/>
        <v>0.39053867400939857</v>
      </c>
      <c r="BI14" s="11">
        <v>0.39053867400939857</v>
      </c>
      <c r="BJ14" s="11">
        <v>0.80974938318328538</v>
      </c>
      <c r="BK14" s="11">
        <v>0.10049306144334057</v>
      </c>
      <c r="BM14" s="11">
        <f t="shared" si="34"/>
        <v>0.33094378052866702</v>
      </c>
      <c r="BN14" s="11">
        <f t="shared" si="31"/>
        <v>0.47766752873952734</v>
      </c>
      <c r="BP14" s="11">
        <f t="shared" si="32"/>
        <v>0.53200017289048618</v>
      </c>
      <c r="BQ14" s="11">
        <f t="shared" si="33"/>
        <v>0.75910838105505518</v>
      </c>
    </row>
    <row r="15" spans="1:83" x14ac:dyDescent="0.35">
      <c r="A15" t="s">
        <v>64</v>
      </c>
      <c r="B15" t="s">
        <v>56</v>
      </c>
      <c r="C15">
        <v>5</v>
      </c>
      <c r="D15" t="s">
        <v>56</v>
      </c>
      <c r="E15" t="s">
        <v>70</v>
      </c>
      <c r="F15">
        <v>0.7</v>
      </c>
      <c r="N15" s="1">
        <v>40</v>
      </c>
      <c r="O15" s="1">
        <v>40</v>
      </c>
      <c r="P15" s="1">
        <f t="shared" si="35"/>
        <v>25.2</v>
      </c>
      <c r="Q15">
        <v>5</v>
      </c>
      <c r="S15">
        <f t="shared" si="5"/>
        <v>0.7</v>
      </c>
      <c r="T15" s="1">
        <f t="shared" si="6"/>
        <v>0.70877848996371517</v>
      </c>
      <c r="U15" s="1">
        <f t="shared" si="7"/>
        <v>0.67827096173007972</v>
      </c>
      <c r="V15" s="1">
        <f t="shared" si="8"/>
        <v>1</v>
      </c>
      <c r="W15" s="1">
        <f t="shared" si="9"/>
        <v>0.67827096173007972</v>
      </c>
      <c r="X15" s="1">
        <f t="shared" si="10"/>
        <v>0.75834828266908694</v>
      </c>
      <c r="Y15">
        <v>0.85</v>
      </c>
      <c r="Z15" s="1">
        <f t="shared" si="11"/>
        <v>3.7086312500000003</v>
      </c>
      <c r="AA15" s="1">
        <f t="shared" si="12"/>
        <v>6.646769694764848E-2</v>
      </c>
      <c r="AB15" s="1">
        <f t="shared" si="13"/>
        <v>0.27848111128436043</v>
      </c>
      <c r="AD15" s="1"/>
      <c r="AE15" s="1"/>
      <c r="AF15" s="1">
        <v>5</v>
      </c>
      <c r="AG15" s="1">
        <f t="shared" si="30"/>
        <v>9.8039215686274508E-2</v>
      </c>
      <c r="AH15" s="1">
        <v>0.92</v>
      </c>
      <c r="AI15" s="1">
        <v>0.85</v>
      </c>
      <c r="AJ15" s="1">
        <v>1</v>
      </c>
      <c r="AK15" s="1"/>
      <c r="AL15" s="1"/>
      <c r="AN15" s="1">
        <f t="shared" si="14"/>
        <v>1</v>
      </c>
      <c r="AO15" s="1">
        <f t="shared" si="15"/>
        <v>0.92</v>
      </c>
      <c r="AP15" s="1">
        <f t="shared" si="16"/>
        <v>0.92</v>
      </c>
      <c r="AQ15" s="1">
        <f t="shared" si="17"/>
        <v>0.92</v>
      </c>
      <c r="AR15" s="1">
        <f t="shared" si="18"/>
        <v>1</v>
      </c>
      <c r="AS15" s="1">
        <f t="shared" si="19"/>
        <v>0.97123816458629042</v>
      </c>
      <c r="AT15" s="1">
        <f t="shared" si="20"/>
        <v>0.9376183464368183</v>
      </c>
      <c r="AU15" s="11">
        <f t="shared" si="21"/>
        <v>0.26110899907632962</v>
      </c>
      <c r="AW15" s="1">
        <v>42</v>
      </c>
      <c r="AX15" s="12">
        <v>8</v>
      </c>
      <c r="AZ15" s="11">
        <f t="shared" si="22"/>
        <v>0.64615384615384619</v>
      </c>
      <c r="BA15" s="11">
        <f t="shared" si="23"/>
        <v>0.64615384615384619</v>
      </c>
      <c r="BB15" s="11">
        <f t="shared" si="24"/>
        <v>1.2269938650306749E-2</v>
      </c>
      <c r="BC15" s="11">
        <f t="shared" si="25"/>
        <v>1.2269938650306749E-2</v>
      </c>
      <c r="BD15" s="11">
        <f t="shared" si="26"/>
        <v>0.82799662978694943</v>
      </c>
      <c r="BF15" s="11">
        <f t="shared" si="27"/>
        <v>0.22796872505759946</v>
      </c>
      <c r="BG15" s="11">
        <f t="shared" si="28"/>
        <v>0.31266560481468925</v>
      </c>
      <c r="BI15" s="11">
        <v>0.31266560481468925</v>
      </c>
      <c r="BJ15" s="11">
        <v>0.80974938318328538</v>
      </c>
      <c r="BK15" s="11">
        <v>0.10049306144334057</v>
      </c>
      <c r="BM15" s="11">
        <f t="shared" si="34"/>
        <v>0.28811359247157686</v>
      </c>
      <c r="BN15" s="11">
        <f t="shared" si="31"/>
        <v>0.46209291490058546</v>
      </c>
      <c r="BP15" s="11">
        <f t="shared" si="32"/>
        <v>0.46314960432894686</v>
      </c>
      <c r="BQ15" s="11">
        <f t="shared" si="33"/>
        <v>0.73435723264010022</v>
      </c>
    </row>
    <row r="16" spans="1:83" x14ac:dyDescent="0.35">
      <c r="A16" t="s">
        <v>71</v>
      </c>
      <c r="B16" t="s">
        <v>72</v>
      </c>
      <c r="D16" t="s">
        <v>52</v>
      </c>
      <c r="E16" t="s">
        <v>52</v>
      </c>
      <c r="F16">
        <v>0.5</v>
      </c>
      <c r="G16">
        <v>0.6</v>
      </c>
      <c r="H16">
        <v>1</v>
      </c>
      <c r="I16">
        <f t="shared" ref="I16:I47" si="36">G16*H16</f>
        <v>0.6</v>
      </c>
      <c r="J16">
        <v>1</v>
      </c>
      <c r="K16">
        <v>1</v>
      </c>
      <c r="L16">
        <f t="shared" ref="L16:L47" si="37">J16*K16</f>
        <v>1</v>
      </c>
      <c r="M16">
        <v>1.5</v>
      </c>
      <c r="N16" s="1">
        <f t="shared" ref="N16:N47" si="38">2*DEGREES(ATAN(I16/(2*M16)))</f>
        <v>22.619864948040426</v>
      </c>
      <c r="O16" s="1">
        <f t="shared" ref="O16:O47" si="39">2*DEGREES(ATAN(L16/(2*M16)))</f>
        <v>36.86989764584402</v>
      </c>
      <c r="P16" s="1">
        <f t="shared" ref="P16:P47" si="40">AVERAGE(N16:O16)</f>
        <v>29.744881296942225</v>
      </c>
      <c r="Q16">
        <v>3</v>
      </c>
      <c r="S16">
        <f t="shared" si="5"/>
        <v>0.5</v>
      </c>
      <c r="T16" s="1">
        <f t="shared" si="6"/>
        <v>0.83660841467447089</v>
      </c>
      <c r="U16" s="1">
        <f t="shared" si="7"/>
        <v>0.73778053239579722</v>
      </c>
      <c r="V16" s="1">
        <f t="shared" si="8"/>
        <v>1</v>
      </c>
      <c r="W16" s="1">
        <f t="shared" si="9"/>
        <v>0.73778053239579722</v>
      </c>
      <c r="X16" s="1">
        <f t="shared" si="10"/>
        <v>0.82488361038179059</v>
      </c>
      <c r="Y16">
        <v>0.85</v>
      </c>
      <c r="Z16" s="1">
        <f t="shared" si="11"/>
        <v>2.5725000000000002</v>
      </c>
      <c r="AA16" s="1">
        <f t="shared" si="12"/>
        <v>4.6105460174242378E-2</v>
      </c>
      <c r="AB16" s="1">
        <f t="shared" si="13"/>
        <v>0.21839294995865083</v>
      </c>
      <c r="AD16" s="1"/>
      <c r="AE16" s="1"/>
      <c r="AF16" s="1">
        <v>2</v>
      </c>
      <c r="AG16" s="1">
        <f t="shared" si="30"/>
        <v>3.9215686274509803E-2</v>
      </c>
      <c r="AH16" s="1">
        <v>1</v>
      </c>
      <c r="AI16" s="1">
        <v>0.3</v>
      </c>
      <c r="AJ16" s="1">
        <v>4</v>
      </c>
      <c r="AK16" s="1"/>
      <c r="AL16" s="1"/>
      <c r="AN16" s="1">
        <f t="shared" si="14"/>
        <v>0.66666666666666663</v>
      </c>
      <c r="AO16" s="1">
        <f t="shared" si="15"/>
        <v>0.78455653099681166</v>
      </c>
      <c r="AP16" s="1">
        <f t="shared" si="16"/>
        <v>0.78455653099681166</v>
      </c>
      <c r="AQ16" s="1">
        <f t="shared" si="17"/>
        <v>1</v>
      </c>
      <c r="AR16" s="1">
        <f t="shared" si="18"/>
        <v>0.76923076923076916</v>
      </c>
      <c r="AS16" s="1">
        <f t="shared" si="19"/>
        <v>0.84321208254488145</v>
      </c>
      <c r="AT16" s="1">
        <f t="shared" si="20"/>
        <v>0.80460670003351453</v>
      </c>
      <c r="AU16" s="11">
        <f t="shared" si="21"/>
        <v>0.17572043077681451</v>
      </c>
      <c r="AW16" s="1">
        <v>56</v>
      </c>
      <c r="AX16" s="12">
        <v>6</v>
      </c>
      <c r="AZ16" s="11">
        <f t="shared" si="22"/>
        <v>0.86153846153846159</v>
      </c>
      <c r="BA16" s="11">
        <f t="shared" si="23"/>
        <v>0.86153846153846159</v>
      </c>
      <c r="BB16" s="11">
        <f t="shared" si="24"/>
        <v>6.1349693251533744E-3</v>
      </c>
      <c r="BC16" s="11">
        <f t="shared" si="25"/>
        <v>6.1349693251533744E-3</v>
      </c>
      <c r="BD16" s="11">
        <f t="shared" si="26"/>
        <v>0.86964582113622901</v>
      </c>
      <c r="BF16" s="11">
        <f t="shared" si="27"/>
        <v>0.16390782385936295</v>
      </c>
      <c r="BG16" s="11">
        <f t="shared" si="28"/>
        <v>0.22480425272325694</v>
      </c>
      <c r="BI16" s="11">
        <v>0.22480425272325694</v>
      </c>
      <c r="BJ16" s="11">
        <v>0.20410037425033112</v>
      </c>
      <c r="BK16" s="11">
        <v>0.25</v>
      </c>
      <c r="BM16" s="11">
        <f t="shared" si="34"/>
        <v>0.23155237642282442</v>
      </c>
      <c r="BN16" s="11">
        <f t="shared" si="31"/>
        <v>0.22430601895730037</v>
      </c>
      <c r="BP16" s="11">
        <f t="shared" si="32"/>
        <v>0.37222607445095923</v>
      </c>
      <c r="BQ16" s="11">
        <f t="shared" si="33"/>
        <v>0.35646672354073838</v>
      </c>
    </row>
    <row r="17" spans="1:69" x14ac:dyDescent="0.35">
      <c r="A17" t="s">
        <v>71</v>
      </c>
      <c r="B17" t="s">
        <v>73</v>
      </c>
      <c r="D17" t="s">
        <v>52</v>
      </c>
      <c r="E17" t="s">
        <v>52</v>
      </c>
      <c r="F17">
        <v>0.5</v>
      </c>
      <c r="G17">
        <v>0.6</v>
      </c>
      <c r="H17">
        <v>1</v>
      </c>
      <c r="I17">
        <f t="shared" si="36"/>
        <v>0.6</v>
      </c>
      <c r="J17">
        <v>1</v>
      </c>
      <c r="K17">
        <v>1</v>
      </c>
      <c r="L17">
        <f t="shared" si="37"/>
        <v>1</v>
      </c>
      <c r="M17">
        <v>1.5</v>
      </c>
      <c r="N17" s="1">
        <f t="shared" si="38"/>
        <v>22.619864948040426</v>
      </c>
      <c r="O17" s="1">
        <f t="shared" si="39"/>
        <v>36.86989764584402</v>
      </c>
      <c r="P17" s="1">
        <f t="shared" si="40"/>
        <v>29.744881296942225</v>
      </c>
      <c r="Q17">
        <v>3</v>
      </c>
      <c r="S17">
        <f t="shared" si="5"/>
        <v>0.5</v>
      </c>
      <c r="T17" s="1">
        <f t="shared" si="6"/>
        <v>0.83660841467447089</v>
      </c>
      <c r="U17" s="1">
        <f t="shared" si="7"/>
        <v>0.73778053239579722</v>
      </c>
      <c r="V17" s="1">
        <f t="shared" si="8"/>
        <v>1</v>
      </c>
      <c r="W17" s="1">
        <f t="shared" si="9"/>
        <v>0.73778053239579722</v>
      </c>
      <c r="X17" s="1">
        <f t="shared" si="10"/>
        <v>0.82488361038179059</v>
      </c>
      <c r="Y17">
        <v>0.85</v>
      </c>
      <c r="Z17" s="1">
        <f t="shared" si="11"/>
        <v>2.5725000000000002</v>
      </c>
      <c r="AA17" s="1">
        <f t="shared" si="12"/>
        <v>4.6105460174242378E-2</v>
      </c>
      <c r="AB17" s="1">
        <f t="shared" si="13"/>
        <v>0.21839294995865083</v>
      </c>
      <c r="AD17" s="1"/>
      <c r="AE17" s="1"/>
      <c r="AF17" s="1">
        <v>3</v>
      </c>
      <c r="AG17" s="1">
        <f t="shared" si="30"/>
        <v>5.8823529411764705E-2</v>
      </c>
      <c r="AH17" s="1">
        <v>1</v>
      </c>
      <c r="AI17" s="1">
        <v>0.3</v>
      </c>
      <c r="AJ17" s="1">
        <v>7</v>
      </c>
      <c r="AK17" s="1"/>
      <c r="AL17" s="1"/>
      <c r="AN17" s="1">
        <f t="shared" si="14"/>
        <v>1</v>
      </c>
      <c r="AO17" s="1">
        <f t="shared" si="15"/>
        <v>0.9</v>
      </c>
      <c r="AP17" s="1">
        <f t="shared" si="16"/>
        <v>0.9</v>
      </c>
      <c r="AQ17" s="1">
        <f t="shared" si="17"/>
        <v>1</v>
      </c>
      <c r="AR17" s="1">
        <f t="shared" si="18"/>
        <v>0.72727272727272729</v>
      </c>
      <c r="AS17" s="1">
        <f t="shared" si="19"/>
        <v>0.81302377588816965</v>
      </c>
      <c r="AT17" s="1">
        <f t="shared" si="20"/>
        <v>0.86854788545432593</v>
      </c>
      <c r="AU17" s="11">
        <f t="shared" si="21"/>
        <v>0.1896847348847186</v>
      </c>
      <c r="AW17" s="1">
        <v>56</v>
      </c>
      <c r="AX17" s="12">
        <v>15</v>
      </c>
      <c r="AZ17" s="11">
        <f t="shared" si="22"/>
        <v>0.86153846153846159</v>
      </c>
      <c r="BA17" s="11">
        <f t="shared" si="23"/>
        <v>0.86153846153846159</v>
      </c>
      <c r="BB17" s="11">
        <f t="shared" si="24"/>
        <v>3.3742331288343558E-2</v>
      </c>
      <c r="BC17" s="11">
        <f t="shared" si="25"/>
        <v>3.3742331288343558E-2</v>
      </c>
      <c r="BD17" s="11">
        <f t="shared" si="26"/>
        <v>0.74220764493282787</v>
      </c>
      <c r="BF17" s="11">
        <f t="shared" si="27"/>
        <v>0.17069472138747685</v>
      </c>
      <c r="BG17" s="11">
        <f t="shared" si="28"/>
        <v>0.23411267614803546</v>
      </c>
      <c r="BI17" s="11">
        <v>0.23411267614803546</v>
      </c>
      <c r="BJ17" s="11">
        <v>0.20410037425033112</v>
      </c>
      <c r="BK17" s="11">
        <v>1</v>
      </c>
      <c r="BM17" s="11">
        <f t="shared" si="34"/>
        <v>0.49917200930645261</v>
      </c>
      <c r="BN17" s="11">
        <f t="shared" si="31"/>
        <v>0.48866770364225609</v>
      </c>
      <c r="BP17" s="11">
        <f t="shared" si="32"/>
        <v>0.80243114050641862</v>
      </c>
      <c r="BQ17" s="11">
        <f t="shared" si="33"/>
        <v>0.77658983930650427</v>
      </c>
    </row>
    <row r="18" spans="1:69" x14ac:dyDescent="0.35">
      <c r="A18" t="s">
        <v>71</v>
      </c>
      <c r="B18" t="s">
        <v>74</v>
      </c>
      <c r="D18" t="s">
        <v>52</v>
      </c>
      <c r="E18" t="s">
        <v>52</v>
      </c>
      <c r="F18">
        <v>0.5</v>
      </c>
      <c r="G18">
        <v>0.4</v>
      </c>
      <c r="H18">
        <v>1</v>
      </c>
      <c r="I18">
        <f t="shared" si="36"/>
        <v>0.4</v>
      </c>
      <c r="J18">
        <v>0.6</v>
      </c>
      <c r="K18">
        <v>1</v>
      </c>
      <c r="L18">
        <f t="shared" si="37"/>
        <v>0.6</v>
      </c>
      <c r="M18">
        <v>1.5</v>
      </c>
      <c r="N18" s="1">
        <f t="shared" si="38"/>
        <v>15.18928673718289</v>
      </c>
      <c r="O18" s="1">
        <f t="shared" si="39"/>
        <v>22.619864948040426</v>
      </c>
      <c r="P18" s="1">
        <f t="shared" si="40"/>
        <v>18.904575842611656</v>
      </c>
      <c r="Q18">
        <v>3</v>
      </c>
      <c r="S18">
        <f t="shared" si="5"/>
        <v>0.5</v>
      </c>
      <c r="T18" s="1">
        <f t="shared" si="6"/>
        <v>0.53171256821947699</v>
      </c>
      <c r="U18" s="1">
        <f t="shared" si="7"/>
        <v>0.57290128466053214</v>
      </c>
      <c r="V18" s="1">
        <f t="shared" si="8"/>
        <v>1</v>
      </c>
      <c r="W18" s="1">
        <f t="shared" si="9"/>
        <v>0.57290128466053214</v>
      </c>
      <c r="X18" s="1">
        <f t="shared" si="10"/>
        <v>0.6405385603609588</v>
      </c>
      <c r="Y18">
        <v>0.85</v>
      </c>
      <c r="Z18" s="1">
        <f t="shared" si="11"/>
        <v>2.5725000000000002</v>
      </c>
      <c r="AA18" s="1">
        <f t="shared" si="12"/>
        <v>4.6105460174242378E-2</v>
      </c>
      <c r="AB18" s="1">
        <f t="shared" si="13"/>
        <v>0.2050108119956863</v>
      </c>
      <c r="AD18" s="1"/>
      <c r="AE18" s="1"/>
      <c r="AF18" s="1">
        <v>2.5</v>
      </c>
      <c r="AG18" s="1">
        <f t="shared" si="30"/>
        <v>4.9019607843137254E-2</v>
      </c>
      <c r="AH18" s="1">
        <v>1</v>
      </c>
      <c r="AI18" s="1">
        <v>0.3</v>
      </c>
      <c r="AJ18" s="1">
        <v>6</v>
      </c>
      <c r="AK18" s="1"/>
      <c r="AL18" s="1"/>
      <c r="AN18" s="1">
        <f t="shared" si="14"/>
        <v>0.83333333333333337</v>
      </c>
      <c r="AO18" s="1">
        <f t="shared" si="15"/>
        <v>0.85322007323779303</v>
      </c>
      <c r="AP18" s="1">
        <f t="shared" si="16"/>
        <v>0.85322007323779303</v>
      </c>
      <c r="AQ18" s="1">
        <f t="shared" si="17"/>
        <v>1</v>
      </c>
      <c r="AR18" s="1">
        <f t="shared" si="18"/>
        <v>0.73684210526315785</v>
      </c>
      <c r="AS18" s="1">
        <f t="shared" si="19"/>
        <v>0.81996135145359483</v>
      </c>
      <c r="AT18" s="1">
        <f t="shared" si="20"/>
        <v>0.84142880571587642</v>
      </c>
      <c r="AU18" s="11">
        <f t="shared" si="21"/>
        <v>0.17250200269637239</v>
      </c>
      <c r="AW18" s="1">
        <v>56</v>
      </c>
      <c r="AX18" s="12">
        <v>9</v>
      </c>
      <c r="AZ18" s="11">
        <f t="shared" si="22"/>
        <v>0.86153846153846159</v>
      </c>
      <c r="BA18" s="11">
        <f t="shared" si="23"/>
        <v>0.86153846153846159</v>
      </c>
      <c r="BB18" s="11">
        <f t="shared" si="24"/>
        <v>1.5337423312883436E-2</v>
      </c>
      <c r="BC18" s="11">
        <f t="shared" si="25"/>
        <v>1.5337423312883436E-2</v>
      </c>
      <c r="BD18" s="11">
        <f t="shared" si="26"/>
        <v>0.81193803841862544</v>
      </c>
      <c r="BF18" s="11">
        <f t="shared" si="27"/>
        <v>0.15828899103766575</v>
      </c>
      <c r="BG18" s="11">
        <f t="shared" si="28"/>
        <v>0.21709786333978034</v>
      </c>
      <c r="BI18" s="11">
        <v>0.21709786333978034</v>
      </c>
      <c r="BJ18" s="11">
        <v>0.20410037425033112</v>
      </c>
      <c r="BK18" s="11">
        <v>0.25542316284596389</v>
      </c>
      <c r="BM18" s="11">
        <f t="shared" si="34"/>
        <v>0.22921196925799966</v>
      </c>
      <c r="BN18" s="11">
        <f t="shared" si="31"/>
        <v>0.22466284807669243</v>
      </c>
      <c r="BP18" s="11">
        <f t="shared" si="32"/>
        <v>0.36846381303504167</v>
      </c>
      <c r="BQ18" s="11">
        <f t="shared" si="33"/>
        <v>0.35703379573810923</v>
      </c>
    </row>
    <row r="19" spans="1:69" x14ac:dyDescent="0.35">
      <c r="A19" t="s">
        <v>71</v>
      </c>
      <c r="B19" t="s">
        <v>75</v>
      </c>
      <c r="D19" t="s">
        <v>52</v>
      </c>
      <c r="E19" t="s">
        <v>52</v>
      </c>
      <c r="F19">
        <v>0.5</v>
      </c>
      <c r="G19">
        <v>1</v>
      </c>
      <c r="H19">
        <v>1</v>
      </c>
      <c r="I19">
        <f t="shared" si="36"/>
        <v>1</v>
      </c>
      <c r="J19">
        <v>1.5</v>
      </c>
      <c r="K19">
        <v>1</v>
      </c>
      <c r="L19">
        <f t="shared" si="37"/>
        <v>1.5</v>
      </c>
      <c r="M19">
        <v>5</v>
      </c>
      <c r="N19" s="1">
        <f t="shared" si="38"/>
        <v>11.421186274999286</v>
      </c>
      <c r="O19" s="1">
        <f t="shared" si="39"/>
        <v>17.061531219896267</v>
      </c>
      <c r="P19" s="1">
        <f t="shared" si="40"/>
        <v>14.241358747447777</v>
      </c>
      <c r="Q19">
        <v>3</v>
      </c>
      <c r="S19">
        <f t="shared" si="5"/>
        <v>0.5</v>
      </c>
      <c r="T19" s="1">
        <f t="shared" si="6"/>
        <v>0.40055431539871356</v>
      </c>
      <c r="U19" s="1">
        <f t="shared" si="7"/>
        <v>0.47317502667359812</v>
      </c>
      <c r="V19" s="1">
        <f t="shared" si="8"/>
        <v>1</v>
      </c>
      <c r="W19" s="1">
        <f t="shared" si="9"/>
        <v>0.47317502667359812</v>
      </c>
      <c r="X19" s="1">
        <f t="shared" si="10"/>
        <v>0.5290385246104945</v>
      </c>
      <c r="Y19">
        <v>0.85</v>
      </c>
      <c r="Z19" s="1">
        <f t="shared" si="11"/>
        <v>2.5725000000000002</v>
      </c>
      <c r="AA19" s="1">
        <f t="shared" si="12"/>
        <v>4.6105460174242378E-2</v>
      </c>
      <c r="AB19" s="1">
        <f t="shared" si="13"/>
        <v>0.1954394674494333</v>
      </c>
      <c r="AD19" s="1"/>
      <c r="AE19" s="1"/>
      <c r="AF19" s="1">
        <v>2.5</v>
      </c>
      <c r="AG19" s="1">
        <f t="shared" si="30"/>
        <v>4.9019607843137254E-2</v>
      </c>
      <c r="AH19" s="1">
        <v>1</v>
      </c>
      <c r="AI19" s="1">
        <v>0.3</v>
      </c>
      <c r="AJ19" s="1">
        <v>5</v>
      </c>
      <c r="AK19" s="1"/>
      <c r="AL19" s="1"/>
      <c r="AN19" s="1">
        <f t="shared" si="14"/>
        <v>0.83333333333333337</v>
      </c>
      <c r="AO19" s="1">
        <f t="shared" si="15"/>
        <v>0.85322007323779303</v>
      </c>
      <c r="AP19" s="1">
        <f t="shared" si="16"/>
        <v>0.85322007323779303</v>
      </c>
      <c r="AQ19" s="1">
        <f t="shared" si="17"/>
        <v>1</v>
      </c>
      <c r="AR19" s="1">
        <f t="shared" si="18"/>
        <v>0.75</v>
      </c>
      <c r="AS19" s="1">
        <f t="shared" si="19"/>
        <v>0.82944925461525454</v>
      </c>
      <c r="AT19" s="1">
        <f t="shared" si="20"/>
        <v>0.84482377880900306</v>
      </c>
      <c r="AU19" s="11">
        <f t="shared" si="21"/>
        <v>0.16511190941904938</v>
      </c>
      <c r="AW19" s="1">
        <v>56</v>
      </c>
      <c r="AX19" s="12">
        <v>30</v>
      </c>
      <c r="AZ19" s="11">
        <f t="shared" si="22"/>
        <v>0.86153846153846159</v>
      </c>
      <c r="BA19" s="11">
        <f t="shared" si="23"/>
        <v>0.86153846153846159</v>
      </c>
      <c r="BB19" s="11">
        <f t="shared" si="24"/>
        <v>7.9754601226993863E-2</v>
      </c>
      <c r="BC19" s="11">
        <f t="shared" si="25"/>
        <v>7.9754601226993863E-2</v>
      </c>
      <c r="BD19" s="11">
        <f t="shared" si="26"/>
        <v>0.63633433542305862</v>
      </c>
      <c r="BF19" s="11">
        <f t="shared" si="27"/>
        <v>0.14428435370823395</v>
      </c>
      <c r="BG19" s="11">
        <f t="shared" si="28"/>
        <v>0.19789010403108212</v>
      </c>
      <c r="BI19" s="11">
        <v>0.19789010403108212</v>
      </c>
      <c r="BJ19" s="11">
        <v>0.20410037425033112</v>
      </c>
      <c r="BK19" s="11">
        <v>0.33034559673629843</v>
      </c>
      <c r="BM19" s="11">
        <f t="shared" si="34"/>
        <v>0.24487055349983272</v>
      </c>
      <c r="BN19" s="11">
        <f t="shared" si="31"/>
        <v>0.24704414807656988</v>
      </c>
      <c r="BP19" s="11">
        <f t="shared" si="32"/>
        <v>0.39363536788513753</v>
      </c>
      <c r="BQ19" s="11">
        <f t="shared" si="33"/>
        <v>0.39260211760760572</v>
      </c>
    </row>
    <row r="20" spans="1:69" x14ac:dyDescent="0.35">
      <c r="A20" t="s">
        <v>76</v>
      </c>
      <c r="B20" t="s">
        <v>77</v>
      </c>
      <c r="C20">
        <v>30</v>
      </c>
      <c r="D20" t="s">
        <v>61</v>
      </c>
      <c r="E20" t="s">
        <v>78</v>
      </c>
      <c r="F20">
        <v>1</v>
      </c>
      <c r="G20">
        <v>0.38</v>
      </c>
      <c r="H20">
        <v>0.6</v>
      </c>
      <c r="I20">
        <f t="shared" si="36"/>
        <v>0.22799999999999998</v>
      </c>
      <c r="J20">
        <v>0.22</v>
      </c>
      <c r="K20">
        <v>0.6</v>
      </c>
      <c r="L20">
        <f t="shared" si="37"/>
        <v>0.13200000000000001</v>
      </c>
      <c r="M20">
        <v>0.4</v>
      </c>
      <c r="N20" s="1">
        <f t="shared" si="38"/>
        <v>31.815103861051682</v>
      </c>
      <c r="O20" s="1">
        <f t="shared" si="39"/>
        <v>18.738770192974965</v>
      </c>
      <c r="P20" s="1">
        <f t="shared" si="40"/>
        <v>25.276937027013325</v>
      </c>
      <c r="Q20">
        <v>30</v>
      </c>
      <c r="S20">
        <f t="shared" si="5"/>
        <v>1</v>
      </c>
      <c r="T20" s="1">
        <f t="shared" si="6"/>
        <v>0.71094243082993758</v>
      </c>
      <c r="U20" s="1">
        <f t="shared" si="7"/>
        <v>0.67938295976267871</v>
      </c>
      <c r="V20" s="1">
        <f t="shared" si="8"/>
        <v>1</v>
      </c>
      <c r="W20" s="1">
        <f t="shared" si="9"/>
        <v>0.67938295976267871</v>
      </c>
      <c r="X20" s="1">
        <f t="shared" si="10"/>
        <v>0.75959156425702612</v>
      </c>
      <c r="Y20">
        <v>0.97</v>
      </c>
      <c r="Z20" s="1">
        <f t="shared" si="11"/>
        <v>19.966431048561397</v>
      </c>
      <c r="AA20" s="1">
        <f t="shared" si="12"/>
        <v>0.35784703266519102</v>
      </c>
      <c r="AB20" s="1">
        <f t="shared" si="13"/>
        <v>0.6189050143811059</v>
      </c>
      <c r="AD20" s="1">
        <v>30</v>
      </c>
      <c r="AE20" s="1">
        <v>0.45</v>
      </c>
      <c r="AF20" s="1">
        <f t="shared" ref="AF20:AF39" si="41">AD20*AE20</f>
        <v>13.5</v>
      </c>
      <c r="AG20" s="1">
        <f t="shared" si="30"/>
        <v>0.26470588235294118</v>
      </c>
      <c r="AH20" s="1">
        <v>0.82</v>
      </c>
      <c r="AI20" s="1">
        <v>0.45</v>
      </c>
      <c r="AJ20" s="1">
        <v>2</v>
      </c>
      <c r="AK20" s="1"/>
      <c r="AL20" s="1"/>
      <c r="AN20" s="1">
        <f t="shared" si="14"/>
        <v>0.45</v>
      </c>
      <c r="AO20" s="1">
        <f t="shared" si="15"/>
        <v>0.77587234253208381</v>
      </c>
      <c r="AP20" s="1">
        <f t="shared" si="16"/>
        <v>0.77587234253208381</v>
      </c>
      <c r="AQ20" s="1">
        <f t="shared" si="17"/>
        <v>0.82</v>
      </c>
      <c r="AR20" s="1">
        <f t="shared" si="18"/>
        <v>0.8571428571428571</v>
      </c>
      <c r="AS20" s="1">
        <f t="shared" si="19"/>
        <v>0.8439552809544334</v>
      </c>
      <c r="AT20" s="1">
        <f t="shared" si="20"/>
        <v>0.79905280123526767</v>
      </c>
      <c r="AU20" s="11">
        <f t="shared" si="21"/>
        <v>0.49453778543977628</v>
      </c>
      <c r="AW20" s="1">
        <v>59</v>
      </c>
      <c r="AX20" s="12">
        <v>4</v>
      </c>
      <c r="AZ20" s="11">
        <f t="shared" si="22"/>
        <v>0.90769230769230769</v>
      </c>
      <c r="BA20" s="11">
        <f t="shared" si="23"/>
        <v>0.90769230769230769</v>
      </c>
      <c r="BB20" s="11">
        <f t="shared" si="24"/>
        <v>0</v>
      </c>
      <c r="BC20" s="11">
        <f t="shared" si="25"/>
        <v>0</v>
      </c>
      <c r="BD20" s="11">
        <f t="shared" si="26"/>
        <v>1</v>
      </c>
      <c r="BF20" s="11">
        <f t="shared" si="27"/>
        <v>0.48554485629748478</v>
      </c>
      <c r="BG20" s="11">
        <f t="shared" si="28"/>
        <v>0.66593861118693687</v>
      </c>
      <c r="BI20" s="11">
        <v>0.66593861118693687</v>
      </c>
      <c r="BJ20" s="11">
        <v>0.37824423521116496</v>
      </c>
      <c r="BK20" s="11">
        <v>6.1671164211273811E-2</v>
      </c>
      <c r="BM20" s="11">
        <f t="shared" si="34"/>
        <v>0.42567556714787758</v>
      </c>
      <c r="BN20" s="11">
        <f t="shared" si="31"/>
        <v>0.32498253555635742</v>
      </c>
      <c r="BP20" s="11">
        <f t="shared" si="32"/>
        <v>0.68428382293865242</v>
      </c>
      <c r="BQ20" s="11">
        <f t="shared" si="33"/>
        <v>0.5164616633840261</v>
      </c>
    </row>
    <row r="21" spans="1:69" x14ac:dyDescent="0.35">
      <c r="A21" t="s">
        <v>76</v>
      </c>
      <c r="B21" t="s">
        <v>77</v>
      </c>
      <c r="C21">
        <v>25</v>
      </c>
      <c r="D21" t="s">
        <v>61</v>
      </c>
      <c r="E21" t="s">
        <v>79</v>
      </c>
      <c r="F21">
        <v>1</v>
      </c>
      <c r="G21">
        <v>0.38</v>
      </c>
      <c r="H21">
        <v>0.6</v>
      </c>
      <c r="I21">
        <f t="shared" si="36"/>
        <v>0.22799999999999998</v>
      </c>
      <c r="J21">
        <v>0.22</v>
      </c>
      <c r="K21">
        <v>0.6</v>
      </c>
      <c r="L21">
        <f t="shared" si="37"/>
        <v>0.13200000000000001</v>
      </c>
      <c r="M21">
        <v>0.4</v>
      </c>
      <c r="N21" s="1">
        <f t="shared" si="38"/>
        <v>31.815103861051682</v>
      </c>
      <c r="O21" s="1">
        <f t="shared" si="39"/>
        <v>18.738770192974965</v>
      </c>
      <c r="P21" s="1">
        <f t="shared" si="40"/>
        <v>25.276937027013325</v>
      </c>
      <c r="Q21">
        <v>25</v>
      </c>
      <c r="S21">
        <f t="shared" si="5"/>
        <v>1</v>
      </c>
      <c r="T21" s="1">
        <f t="shared" si="6"/>
        <v>0.71094243082993758</v>
      </c>
      <c r="U21" s="1">
        <f t="shared" si="7"/>
        <v>0.67938295976267871</v>
      </c>
      <c r="V21" s="1">
        <f t="shared" si="8"/>
        <v>1</v>
      </c>
      <c r="W21" s="1">
        <f t="shared" si="9"/>
        <v>0.67938295976267871</v>
      </c>
      <c r="X21" s="1">
        <f t="shared" si="10"/>
        <v>0.75959156425702612</v>
      </c>
      <c r="Y21">
        <v>0.97</v>
      </c>
      <c r="Z21" s="1">
        <f t="shared" si="11"/>
        <v>17.767509824854258</v>
      </c>
      <c r="AA21" s="1">
        <f t="shared" si="12"/>
        <v>0.31843701326541424</v>
      </c>
      <c r="AB21" s="1">
        <f t="shared" si="13"/>
        <v>0.59068297014930971</v>
      </c>
      <c r="AD21" s="1">
        <v>25</v>
      </c>
      <c r="AE21" s="1">
        <v>0.5</v>
      </c>
      <c r="AF21" s="1">
        <f t="shared" si="41"/>
        <v>12.5</v>
      </c>
      <c r="AG21" s="1">
        <f t="shared" si="30"/>
        <v>0.24509803921568626</v>
      </c>
      <c r="AH21" s="1">
        <v>0.82</v>
      </c>
      <c r="AI21" s="1">
        <v>0.45</v>
      </c>
      <c r="AJ21" s="1">
        <v>2</v>
      </c>
      <c r="AK21" s="1"/>
      <c r="AL21" s="1"/>
      <c r="AN21" s="1">
        <f t="shared" si="14"/>
        <v>0.5</v>
      </c>
      <c r="AO21" s="1">
        <f t="shared" si="15"/>
        <v>0.80141527213853858</v>
      </c>
      <c r="AP21" s="1">
        <f t="shared" si="16"/>
        <v>0.80141527213853858</v>
      </c>
      <c r="AQ21" s="1">
        <f t="shared" si="17"/>
        <v>0.82</v>
      </c>
      <c r="AR21" s="1">
        <f t="shared" si="18"/>
        <v>0.8571428571428571</v>
      </c>
      <c r="AS21" s="1">
        <f t="shared" si="19"/>
        <v>0.8439552809544334</v>
      </c>
      <c r="AT21" s="1">
        <f t="shared" si="20"/>
        <v>0.81605466458891562</v>
      </c>
      <c r="AU21" s="11">
        <f t="shared" si="21"/>
        <v>0.4820295930835794</v>
      </c>
      <c r="AW21" s="1">
        <v>59</v>
      </c>
      <c r="AX21" s="12">
        <v>4</v>
      </c>
      <c r="AZ21" s="11">
        <f t="shared" si="22"/>
        <v>0.90769230769230769</v>
      </c>
      <c r="BA21" s="11">
        <f t="shared" si="23"/>
        <v>0.90769230769230769</v>
      </c>
      <c r="BB21" s="11">
        <f t="shared" si="24"/>
        <v>0</v>
      </c>
      <c r="BC21" s="11">
        <f t="shared" si="25"/>
        <v>0</v>
      </c>
      <c r="BD21" s="11">
        <f t="shared" si="26"/>
        <v>1</v>
      </c>
      <c r="BF21" s="11">
        <f t="shared" si="27"/>
        <v>0.47326411933674856</v>
      </c>
      <c r="BG21" s="11">
        <f t="shared" si="28"/>
        <v>0.64909523037481665</v>
      </c>
      <c r="BI21" s="11">
        <v>0.64909523037481665</v>
      </c>
      <c r="BJ21" s="11">
        <v>0.37824423521116496</v>
      </c>
      <c r="BK21" s="11">
        <v>6.1671164211273811E-2</v>
      </c>
      <c r="BM21" s="11">
        <f t="shared" si="34"/>
        <v>0.4164117077012115</v>
      </c>
      <c r="BN21" s="11">
        <f t="shared" si="31"/>
        <v>0.32161385939393339</v>
      </c>
      <c r="BP21" s="11">
        <f t="shared" si="32"/>
        <v>0.66939194366119126</v>
      </c>
      <c r="BQ21" s="11">
        <f t="shared" si="33"/>
        <v>0.51110816926081371</v>
      </c>
    </row>
    <row r="22" spans="1:69" x14ac:dyDescent="0.35">
      <c r="A22" t="s">
        <v>76</v>
      </c>
      <c r="B22" t="s">
        <v>77</v>
      </c>
      <c r="C22">
        <v>20</v>
      </c>
      <c r="D22" t="s">
        <v>61</v>
      </c>
      <c r="E22" t="s">
        <v>80</v>
      </c>
      <c r="F22">
        <v>1</v>
      </c>
      <c r="G22">
        <v>0.38</v>
      </c>
      <c r="H22">
        <v>0.6</v>
      </c>
      <c r="I22">
        <f t="shared" si="36"/>
        <v>0.22799999999999998</v>
      </c>
      <c r="J22">
        <v>0.22</v>
      </c>
      <c r="K22">
        <v>0.6</v>
      </c>
      <c r="L22">
        <f t="shared" si="37"/>
        <v>0.13200000000000001</v>
      </c>
      <c r="M22">
        <v>0.4</v>
      </c>
      <c r="N22" s="1">
        <f t="shared" si="38"/>
        <v>31.815103861051682</v>
      </c>
      <c r="O22" s="1">
        <f t="shared" si="39"/>
        <v>18.738770192974965</v>
      </c>
      <c r="P22" s="1">
        <f t="shared" si="40"/>
        <v>25.276937027013325</v>
      </c>
      <c r="Q22">
        <v>20</v>
      </c>
      <c r="S22">
        <f t="shared" si="5"/>
        <v>1</v>
      </c>
      <c r="T22" s="1">
        <f t="shared" si="6"/>
        <v>0.71094243082993758</v>
      </c>
      <c r="U22" s="1">
        <f t="shared" si="7"/>
        <v>0.67938295976267871</v>
      </c>
      <c r="V22" s="1">
        <f t="shared" si="8"/>
        <v>1</v>
      </c>
      <c r="W22" s="1">
        <f t="shared" si="9"/>
        <v>0.67938295976267871</v>
      </c>
      <c r="X22" s="1">
        <f t="shared" si="10"/>
        <v>0.75959156425702612</v>
      </c>
      <c r="Y22">
        <v>0.97</v>
      </c>
      <c r="Z22" s="1">
        <f t="shared" si="11"/>
        <v>15.206855235775082</v>
      </c>
      <c r="AA22" s="1">
        <f t="shared" si="12"/>
        <v>0.27254385168065975</v>
      </c>
      <c r="AB22" s="1">
        <f t="shared" si="13"/>
        <v>0.55503400153020355</v>
      </c>
      <c r="AD22" s="1">
        <v>20</v>
      </c>
      <c r="AE22" s="1">
        <v>0.55000000000000004</v>
      </c>
      <c r="AF22" s="1">
        <f t="shared" si="41"/>
        <v>11</v>
      </c>
      <c r="AG22" s="1">
        <f t="shared" si="30"/>
        <v>0.21568627450980393</v>
      </c>
      <c r="AH22" s="1">
        <v>0.82</v>
      </c>
      <c r="AI22" s="1">
        <v>0.45</v>
      </c>
      <c r="AJ22" s="1">
        <v>2</v>
      </c>
      <c r="AK22" s="1"/>
      <c r="AL22" s="1"/>
      <c r="AN22" s="1">
        <f t="shared" si="14"/>
        <v>0.55000000000000004</v>
      </c>
      <c r="AO22" s="1">
        <f t="shared" si="15"/>
        <v>0.82425717878625282</v>
      </c>
      <c r="AP22" s="1">
        <f t="shared" si="16"/>
        <v>0.82425717878625282</v>
      </c>
      <c r="AQ22" s="1">
        <f t="shared" si="17"/>
        <v>0.82</v>
      </c>
      <c r="AR22" s="1">
        <f t="shared" si="18"/>
        <v>0.8571428571428571</v>
      </c>
      <c r="AS22" s="1">
        <f t="shared" si="19"/>
        <v>0.8439552809544334</v>
      </c>
      <c r="AT22" s="1">
        <f t="shared" si="20"/>
        <v>0.83109866013021638</v>
      </c>
      <c r="AU22" s="11">
        <f t="shared" si="21"/>
        <v>0.46128801499846461</v>
      </c>
      <c r="AW22" s="1">
        <v>59</v>
      </c>
      <c r="AX22" s="12">
        <v>4</v>
      </c>
      <c r="AZ22" s="11">
        <f t="shared" si="22"/>
        <v>0.90769230769230769</v>
      </c>
      <c r="BA22" s="11">
        <f t="shared" si="23"/>
        <v>0.90769230769230769</v>
      </c>
      <c r="BB22" s="11">
        <f t="shared" si="24"/>
        <v>0</v>
      </c>
      <c r="BC22" s="11">
        <f t="shared" si="25"/>
        <v>0</v>
      </c>
      <c r="BD22" s="11">
        <f t="shared" si="26"/>
        <v>1</v>
      </c>
      <c r="BF22" s="11">
        <f t="shared" si="27"/>
        <v>0.45289971676280905</v>
      </c>
      <c r="BG22" s="11">
        <f t="shared" si="28"/>
        <v>0.62116487174399193</v>
      </c>
      <c r="BI22" s="11">
        <v>0.62116487174399193</v>
      </c>
      <c r="BJ22" s="11">
        <v>0.37824423521116496</v>
      </c>
      <c r="BK22" s="11">
        <v>6.1671164211273811E-2</v>
      </c>
      <c r="BM22" s="11">
        <f t="shared" si="34"/>
        <v>0.40105001045425787</v>
      </c>
      <c r="BN22" s="11">
        <f t="shared" si="31"/>
        <v>0.31602778766776846</v>
      </c>
      <c r="BP22" s="11">
        <f t="shared" si="32"/>
        <v>0.6446976418730882</v>
      </c>
      <c r="BQ22" s="11">
        <f t="shared" si="33"/>
        <v>0.5022307940795947</v>
      </c>
    </row>
    <row r="23" spans="1:69" x14ac:dyDescent="0.35">
      <c r="A23" t="s">
        <v>76</v>
      </c>
      <c r="B23" t="s">
        <v>77</v>
      </c>
      <c r="C23">
        <v>15</v>
      </c>
      <c r="D23" t="s">
        <v>61</v>
      </c>
      <c r="E23" t="s">
        <v>81</v>
      </c>
      <c r="F23">
        <v>1</v>
      </c>
      <c r="G23">
        <v>0.38</v>
      </c>
      <c r="H23">
        <v>0.6</v>
      </c>
      <c r="I23">
        <f t="shared" si="36"/>
        <v>0.22799999999999998</v>
      </c>
      <c r="J23">
        <v>0.22</v>
      </c>
      <c r="K23">
        <v>0.6</v>
      </c>
      <c r="L23">
        <f t="shared" si="37"/>
        <v>0.13200000000000001</v>
      </c>
      <c r="M23">
        <v>0.4</v>
      </c>
      <c r="N23" s="1">
        <f t="shared" si="38"/>
        <v>31.815103861051682</v>
      </c>
      <c r="O23" s="1">
        <f t="shared" si="39"/>
        <v>18.738770192974965</v>
      </c>
      <c r="P23" s="1">
        <f t="shared" si="40"/>
        <v>25.276937027013325</v>
      </c>
      <c r="Q23">
        <v>15</v>
      </c>
      <c r="S23">
        <f t="shared" si="5"/>
        <v>1</v>
      </c>
      <c r="T23" s="1">
        <f t="shared" si="6"/>
        <v>0.71094243082993758</v>
      </c>
      <c r="U23" s="1">
        <f t="shared" si="7"/>
        <v>0.67938295976267871</v>
      </c>
      <c r="V23" s="1">
        <f t="shared" si="8"/>
        <v>1</v>
      </c>
      <c r="W23" s="1">
        <f t="shared" si="9"/>
        <v>0.67938295976267871</v>
      </c>
      <c r="X23" s="1">
        <f t="shared" si="10"/>
        <v>0.75959156425702612</v>
      </c>
      <c r="Y23">
        <v>0.97</v>
      </c>
      <c r="Z23" s="1">
        <f t="shared" si="11"/>
        <v>12.224960362107014</v>
      </c>
      <c r="AA23" s="1">
        <f t="shared" si="12"/>
        <v>0.21910103910857787</v>
      </c>
      <c r="AB23" s="1">
        <f t="shared" si="13"/>
        <v>0.508630979099709</v>
      </c>
      <c r="AD23" s="1">
        <v>15</v>
      </c>
      <c r="AE23" s="1">
        <v>0.6</v>
      </c>
      <c r="AF23" s="1">
        <f t="shared" si="41"/>
        <v>9</v>
      </c>
      <c r="AG23" s="1">
        <f t="shared" si="30"/>
        <v>0.17647058823529413</v>
      </c>
      <c r="AH23" s="1">
        <v>0.82</v>
      </c>
      <c r="AI23" s="1">
        <v>0.45</v>
      </c>
      <c r="AJ23" s="1">
        <v>2</v>
      </c>
      <c r="AK23" s="1"/>
      <c r="AL23" s="1"/>
      <c r="AN23" s="1">
        <f t="shared" si="14"/>
        <v>0.6</v>
      </c>
      <c r="AO23" s="1">
        <f t="shared" si="15"/>
        <v>0.84329386717316235</v>
      </c>
      <c r="AP23" s="1">
        <f t="shared" si="16"/>
        <v>0.84329386717316235</v>
      </c>
      <c r="AQ23" s="1">
        <f t="shared" si="17"/>
        <v>0.82</v>
      </c>
      <c r="AR23" s="1">
        <f t="shared" si="18"/>
        <v>0.8571428571428571</v>
      </c>
      <c r="AS23" s="1">
        <f t="shared" si="19"/>
        <v>0.8439552809544334</v>
      </c>
      <c r="AT23" s="1">
        <f t="shared" si="20"/>
        <v>0.8435253030129557</v>
      </c>
      <c r="AU23" s="11">
        <f t="shared" si="21"/>
        <v>0.42904310076685837</v>
      </c>
      <c r="AW23" s="1">
        <v>59</v>
      </c>
      <c r="AX23" s="12">
        <v>4</v>
      </c>
      <c r="AZ23" s="11">
        <f t="shared" si="22"/>
        <v>0.90769230769230769</v>
      </c>
      <c r="BA23" s="11">
        <f t="shared" si="23"/>
        <v>0.90769230769230769</v>
      </c>
      <c r="BB23" s="11">
        <f t="shared" si="24"/>
        <v>0</v>
      </c>
      <c r="BC23" s="11">
        <f t="shared" si="25"/>
        <v>0</v>
      </c>
      <c r="BD23" s="11">
        <f t="shared" si="26"/>
        <v>1</v>
      </c>
      <c r="BF23" s="11">
        <f t="shared" si="27"/>
        <v>0.42124116061631101</v>
      </c>
      <c r="BG23" s="11">
        <f t="shared" si="28"/>
        <v>0.57774425954113995</v>
      </c>
      <c r="BI23" s="11">
        <v>0.57774425954113995</v>
      </c>
      <c r="BJ23" s="11">
        <v>0.37824423521116496</v>
      </c>
      <c r="BK23" s="11">
        <v>6.1671164211273811E-2</v>
      </c>
      <c r="BM23" s="11">
        <f t="shared" si="34"/>
        <v>0.37716867374268931</v>
      </c>
      <c r="BN23" s="11">
        <f t="shared" si="31"/>
        <v>0.30734366522719803</v>
      </c>
      <c r="BP23" s="11">
        <f t="shared" si="32"/>
        <v>0.60630781252166499</v>
      </c>
      <c r="BQ23" s="11">
        <f t="shared" si="33"/>
        <v>0.48843000225239891</v>
      </c>
    </row>
    <row r="24" spans="1:69" x14ac:dyDescent="0.35">
      <c r="A24" t="s">
        <v>76</v>
      </c>
      <c r="B24" t="s">
        <v>77</v>
      </c>
      <c r="C24">
        <v>10</v>
      </c>
      <c r="D24" t="s">
        <v>61</v>
      </c>
      <c r="E24" t="s">
        <v>82</v>
      </c>
      <c r="F24">
        <v>1</v>
      </c>
      <c r="G24">
        <v>0.38</v>
      </c>
      <c r="H24">
        <v>0.6</v>
      </c>
      <c r="I24">
        <f t="shared" si="36"/>
        <v>0.22799999999999998</v>
      </c>
      <c r="J24">
        <v>0.22</v>
      </c>
      <c r="K24">
        <v>0.6</v>
      </c>
      <c r="L24">
        <f t="shared" si="37"/>
        <v>0.13200000000000001</v>
      </c>
      <c r="M24">
        <v>0.4</v>
      </c>
      <c r="N24" s="1">
        <f t="shared" si="38"/>
        <v>31.815103861051682</v>
      </c>
      <c r="O24" s="1">
        <f t="shared" si="39"/>
        <v>18.738770192974965</v>
      </c>
      <c r="P24" s="1">
        <f t="shared" si="40"/>
        <v>25.276937027013325</v>
      </c>
      <c r="Q24">
        <v>10</v>
      </c>
      <c r="S24">
        <f t="shared" si="5"/>
        <v>1</v>
      </c>
      <c r="T24" s="1">
        <f t="shared" si="6"/>
        <v>0.71094243082993758</v>
      </c>
      <c r="U24" s="1">
        <f t="shared" si="7"/>
        <v>0.67938295976267871</v>
      </c>
      <c r="V24" s="1">
        <f t="shared" si="8"/>
        <v>1</v>
      </c>
      <c r="W24" s="1">
        <f t="shared" si="9"/>
        <v>0.67938295976267871</v>
      </c>
      <c r="X24" s="1">
        <f t="shared" si="10"/>
        <v>0.75959156425702612</v>
      </c>
      <c r="Y24">
        <v>0.97</v>
      </c>
      <c r="Z24" s="1">
        <f t="shared" si="11"/>
        <v>8.7525291035023862</v>
      </c>
      <c r="AA24" s="1">
        <f t="shared" si="12"/>
        <v>0.15686662079899966</v>
      </c>
      <c r="AB24" s="1">
        <f t="shared" si="13"/>
        <v>0.444997170659095</v>
      </c>
      <c r="AD24" s="1">
        <v>10</v>
      </c>
      <c r="AE24" s="1">
        <v>0.65</v>
      </c>
      <c r="AF24" s="1">
        <f t="shared" si="41"/>
        <v>6.5</v>
      </c>
      <c r="AG24" s="1">
        <f t="shared" si="30"/>
        <v>0.12745098039215685</v>
      </c>
      <c r="AH24" s="1">
        <v>0.82</v>
      </c>
      <c r="AI24" s="1">
        <v>0.45</v>
      </c>
      <c r="AJ24" s="1">
        <v>2</v>
      </c>
      <c r="AK24" s="1"/>
      <c r="AL24" s="1"/>
      <c r="AN24" s="1">
        <f t="shared" si="14"/>
        <v>0.65</v>
      </c>
      <c r="AO24" s="1">
        <f t="shared" si="15"/>
        <v>0.86089889561565669</v>
      </c>
      <c r="AP24" s="1">
        <f t="shared" si="16"/>
        <v>0.86089889561565669</v>
      </c>
      <c r="AQ24" s="1">
        <f t="shared" si="17"/>
        <v>0.82</v>
      </c>
      <c r="AR24" s="1">
        <f t="shared" si="18"/>
        <v>0.8571428571428571</v>
      </c>
      <c r="AS24" s="1">
        <f t="shared" si="19"/>
        <v>0.8439552809544334</v>
      </c>
      <c r="AT24" s="1">
        <f t="shared" si="20"/>
        <v>0.85493028195067355</v>
      </c>
      <c r="AU24" s="11">
        <f t="shared" si="21"/>
        <v>0.38044155657883211</v>
      </c>
      <c r="AW24" s="1">
        <v>59</v>
      </c>
      <c r="AX24" s="12">
        <v>4</v>
      </c>
      <c r="AZ24" s="11">
        <f t="shared" si="22"/>
        <v>0.90769230769230769</v>
      </c>
      <c r="BA24" s="11">
        <f t="shared" si="23"/>
        <v>0.90769230769230769</v>
      </c>
      <c r="BB24" s="11">
        <f t="shared" si="24"/>
        <v>0</v>
      </c>
      <c r="BC24" s="11">
        <f t="shared" si="25"/>
        <v>0</v>
      </c>
      <c r="BD24" s="11">
        <f t="shared" si="26"/>
        <v>1</v>
      </c>
      <c r="BF24" s="11">
        <f t="shared" si="27"/>
        <v>0.37352341187517901</v>
      </c>
      <c r="BG24" s="11">
        <f t="shared" si="28"/>
        <v>0.51229800691691818</v>
      </c>
      <c r="BI24" s="11">
        <v>0.51229800691691818</v>
      </c>
      <c r="BJ24" s="11">
        <v>0.37824423521116496</v>
      </c>
      <c r="BK24" s="11">
        <v>6.1671164211273811E-2</v>
      </c>
      <c r="BM24" s="11">
        <f t="shared" si="34"/>
        <v>0.34117323479936734</v>
      </c>
      <c r="BN24" s="11">
        <f t="shared" si="31"/>
        <v>0.29425441470235369</v>
      </c>
      <c r="BP24" s="11">
        <f t="shared" si="32"/>
        <v>0.54844426932249779</v>
      </c>
      <c r="BQ24" s="11">
        <f t="shared" si="33"/>
        <v>0.46762858876432234</v>
      </c>
    </row>
    <row r="25" spans="1:69" x14ac:dyDescent="0.35">
      <c r="A25" t="s">
        <v>76</v>
      </c>
      <c r="B25" t="s">
        <v>83</v>
      </c>
      <c r="C25">
        <v>30</v>
      </c>
      <c r="D25" t="s">
        <v>61</v>
      </c>
      <c r="E25" t="s">
        <v>78</v>
      </c>
      <c r="F25">
        <v>1</v>
      </c>
      <c r="G25">
        <v>0.38</v>
      </c>
      <c r="H25">
        <v>0.6</v>
      </c>
      <c r="I25">
        <f t="shared" si="36"/>
        <v>0.22799999999999998</v>
      </c>
      <c r="J25">
        <v>0.22</v>
      </c>
      <c r="K25">
        <v>0.6</v>
      </c>
      <c r="L25">
        <f t="shared" si="37"/>
        <v>0.13200000000000001</v>
      </c>
      <c r="M25">
        <v>0.4</v>
      </c>
      <c r="N25" s="1">
        <f t="shared" si="38"/>
        <v>31.815103861051682</v>
      </c>
      <c r="O25" s="1">
        <f t="shared" si="39"/>
        <v>18.738770192974965</v>
      </c>
      <c r="P25" s="1">
        <f t="shared" si="40"/>
        <v>25.276937027013325</v>
      </c>
      <c r="Q25">
        <v>30</v>
      </c>
      <c r="S25">
        <f t="shared" si="5"/>
        <v>1</v>
      </c>
      <c r="T25" s="1">
        <f t="shared" si="6"/>
        <v>0.71094243082993758</v>
      </c>
      <c r="U25" s="1">
        <f t="shared" si="7"/>
        <v>0.67938295976267871</v>
      </c>
      <c r="V25" s="1">
        <f t="shared" si="8"/>
        <v>1</v>
      </c>
      <c r="W25" s="1">
        <f t="shared" si="9"/>
        <v>0.67938295976267871</v>
      </c>
      <c r="X25" s="1">
        <f t="shared" si="10"/>
        <v>0.75959156425702612</v>
      </c>
      <c r="Y25">
        <v>0.97</v>
      </c>
      <c r="Z25" s="1">
        <f t="shared" si="11"/>
        <v>19.966431048561397</v>
      </c>
      <c r="AA25" s="1">
        <f t="shared" si="12"/>
        <v>0.35784703266519102</v>
      </c>
      <c r="AB25" s="1">
        <f t="shared" si="13"/>
        <v>0.6189050143811059</v>
      </c>
      <c r="AD25" s="1">
        <v>30</v>
      </c>
      <c r="AE25" s="1">
        <v>0.6</v>
      </c>
      <c r="AF25" s="1">
        <f t="shared" si="41"/>
        <v>18</v>
      </c>
      <c r="AG25" s="1">
        <f t="shared" si="30"/>
        <v>0.35294117647058826</v>
      </c>
      <c r="AH25" s="1">
        <v>1</v>
      </c>
      <c r="AI25" s="1">
        <v>0.56999999999999995</v>
      </c>
      <c r="AJ25" s="1">
        <v>1</v>
      </c>
      <c r="AK25" s="1"/>
      <c r="AL25" s="1"/>
      <c r="AN25" s="1">
        <f t="shared" si="14"/>
        <v>0.6</v>
      </c>
      <c r="AO25" s="1">
        <f t="shared" si="15"/>
        <v>0.85351833557808354</v>
      </c>
      <c r="AP25" s="1">
        <f t="shared" si="16"/>
        <v>0.85351833557808354</v>
      </c>
      <c r="AQ25" s="1">
        <f t="shared" si="17"/>
        <v>1</v>
      </c>
      <c r="AR25" s="1">
        <f t="shared" si="18"/>
        <v>1</v>
      </c>
      <c r="AS25" s="1">
        <f t="shared" si="19"/>
        <v>1</v>
      </c>
      <c r="AT25" s="1">
        <f t="shared" si="20"/>
        <v>0.90216994713428189</v>
      </c>
      <c r="AU25" s="11">
        <f t="shared" si="21"/>
        <v>0.55835750410534424</v>
      </c>
      <c r="AW25" s="1">
        <v>59</v>
      </c>
      <c r="AX25" s="12">
        <v>12</v>
      </c>
      <c r="AZ25" s="11">
        <f t="shared" si="22"/>
        <v>0.90769230769230769</v>
      </c>
      <c r="BA25" s="11">
        <f t="shared" si="23"/>
        <v>0.90769230769230769</v>
      </c>
      <c r="BB25" s="11">
        <f t="shared" si="24"/>
        <v>2.4539877300613498E-2</v>
      </c>
      <c r="BC25" s="11">
        <f t="shared" si="25"/>
        <v>2.4539877300613498E-2</v>
      </c>
      <c r="BD25" s="11">
        <f t="shared" si="26"/>
        <v>0.77304019232428089</v>
      </c>
      <c r="BF25" s="11">
        <f t="shared" si="27"/>
        <v>0.51212655539092355</v>
      </c>
      <c r="BG25" s="11">
        <f t="shared" si="28"/>
        <v>0.70239616922237436</v>
      </c>
      <c r="BI25" s="11">
        <v>0.70239616922237436</v>
      </c>
      <c r="BJ25" s="11">
        <v>0.37824423521116496</v>
      </c>
      <c r="BK25" s="11">
        <v>6.1671164211273811E-2</v>
      </c>
      <c r="BM25" s="11">
        <f t="shared" si="34"/>
        <v>0.4457272240673682</v>
      </c>
      <c r="BN25" s="11">
        <f t="shared" si="31"/>
        <v>0.33227404716344494</v>
      </c>
      <c r="BP25" s="11">
        <f t="shared" si="32"/>
        <v>0.71651734891961794</v>
      </c>
      <c r="BQ25" s="11">
        <f t="shared" si="33"/>
        <v>0.52804932056915299</v>
      </c>
    </row>
    <row r="26" spans="1:69" x14ac:dyDescent="0.35">
      <c r="A26" t="s">
        <v>76</v>
      </c>
      <c r="B26" t="s">
        <v>83</v>
      </c>
      <c r="C26">
        <v>25</v>
      </c>
      <c r="D26" t="s">
        <v>61</v>
      </c>
      <c r="E26" t="s">
        <v>79</v>
      </c>
      <c r="F26">
        <v>1</v>
      </c>
      <c r="G26">
        <v>7.0000000000000007E-2</v>
      </c>
      <c r="H26">
        <v>1</v>
      </c>
      <c r="I26">
        <f t="shared" si="36"/>
        <v>7.0000000000000007E-2</v>
      </c>
      <c r="J26">
        <v>0.14000000000000001</v>
      </c>
      <c r="K26">
        <v>1</v>
      </c>
      <c r="L26">
        <f t="shared" si="37"/>
        <v>0.14000000000000001</v>
      </c>
      <c r="M26">
        <v>0.3</v>
      </c>
      <c r="N26" s="1">
        <f t="shared" si="38"/>
        <v>13.308850092013193</v>
      </c>
      <c r="O26" s="1">
        <f t="shared" si="39"/>
        <v>26.26804461279265</v>
      </c>
      <c r="P26" s="1">
        <f t="shared" si="40"/>
        <v>19.788447352402923</v>
      </c>
      <c r="Q26">
        <v>25</v>
      </c>
      <c r="S26">
        <f t="shared" si="5"/>
        <v>1</v>
      </c>
      <c r="T26" s="1">
        <f t="shared" si="6"/>
        <v>0.55657245369692943</v>
      </c>
      <c r="U26" s="1">
        <f t="shared" si="7"/>
        <v>0.58955606048627085</v>
      </c>
      <c r="V26" s="1">
        <f t="shared" si="8"/>
        <v>1</v>
      </c>
      <c r="W26" s="1">
        <f t="shared" si="9"/>
        <v>0.58955606048627085</v>
      </c>
      <c r="X26" s="1">
        <f t="shared" si="10"/>
        <v>0.65915961501066944</v>
      </c>
      <c r="Y26">
        <v>0.97</v>
      </c>
      <c r="Z26" s="1">
        <f t="shared" si="11"/>
        <v>17.767509824854258</v>
      </c>
      <c r="AA26" s="1">
        <f t="shared" si="12"/>
        <v>0.31843701326541424</v>
      </c>
      <c r="AB26" s="1">
        <f>POWER(PRODUCT(POWER(S26,$S$129),POWER(X26,$X$129),POWER(AA26,$AA$129)),1/SUM($S$129,$X$129,$AA$129))</f>
        <v>0.57010790725029004</v>
      </c>
      <c r="AD26" s="1">
        <v>25</v>
      </c>
      <c r="AE26" s="1">
        <v>0.65</v>
      </c>
      <c r="AF26" s="1">
        <f t="shared" si="41"/>
        <v>16.25</v>
      </c>
      <c r="AG26" s="1">
        <f t="shared" si="30"/>
        <v>0.31862745098039214</v>
      </c>
      <c r="AH26" s="1">
        <v>1</v>
      </c>
      <c r="AI26" s="1">
        <v>0.56999999999999995</v>
      </c>
      <c r="AJ26" s="1">
        <v>1</v>
      </c>
      <c r="AK26" s="1"/>
      <c r="AL26" s="1"/>
      <c r="AN26" s="1">
        <f t="shared" si="14"/>
        <v>0.65</v>
      </c>
      <c r="AO26" s="1">
        <f t="shared" si="15"/>
        <v>0.87019456477881418</v>
      </c>
      <c r="AP26" s="1">
        <f t="shared" si="16"/>
        <v>0.87019456477881418</v>
      </c>
      <c r="AQ26" s="1">
        <f t="shared" si="17"/>
        <v>1</v>
      </c>
      <c r="AR26" s="1">
        <f t="shared" si="18"/>
        <v>1</v>
      </c>
      <c r="AS26" s="1">
        <f t="shared" si="19"/>
        <v>1</v>
      </c>
      <c r="AT26" s="1">
        <f t="shared" si="20"/>
        <v>0.9135885294142273</v>
      </c>
      <c r="AU26" s="11">
        <f t="shared" si="21"/>
        <v>0.52084404459221512</v>
      </c>
      <c r="AW26" s="1">
        <v>59</v>
      </c>
      <c r="AX26" s="12">
        <v>12</v>
      </c>
      <c r="AZ26" s="11">
        <f t="shared" si="22"/>
        <v>0.90769230769230769</v>
      </c>
      <c r="BA26" s="11">
        <f t="shared" si="23"/>
        <v>0.90769230769230769</v>
      </c>
      <c r="BB26" s="11">
        <f t="shared" si="24"/>
        <v>2.4539877300613498E-2</v>
      </c>
      <c r="BC26" s="11">
        <f t="shared" si="25"/>
        <v>2.4539877300613498E-2</v>
      </c>
      <c r="BD26" s="11">
        <f t="shared" si="26"/>
        <v>0.77304019232428089</v>
      </c>
      <c r="BF26" s="11">
        <f t="shared" si="27"/>
        <v>0.47771913960444012</v>
      </c>
      <c r="BG26" s="11">
        <f t="shared" si="28"/>
        <v>0.65520541766523344</v>
      </c>
      <c r="BI26" s="11">
        <v>0.65520541766523344</v>
      </c>
      <c r="BJ26" s="11">
        <v>0.37824423521116496</v>
      </c>
      <c r="BK26" s="11">
        <v>6.1671164211273811E-2</v>
      </c>
      <c r="BM26" s="11">
        <f t="shared" si="34"/>
        <v>0.41977231071094073</v>
      </c>
      <c r="BN26" s="11">
        <f t="shared" si="31"/>
        <v>0.32283589685201675</v>
      </c>
      <c r="BP26" s="11">
        <f t="shared" si="32"/>
        <v>0.6747941947001328</v>
      </c>
      <c r="BQ26" s="11">
        <f t="shared" si="33"/>
        <v>0.51305022900023578</v>
      </c>
    </row>
    <row r="27" spans="1:69" x14ac:dyDescent="0.35">
      <c r="A27" t="s">
        <v>76</v>
      </c>
      <c r="B27" t="s">
        <v>83</v>
      </c>
      <c r="C27">
        <v>20</v>
      </c>
      <c r="D27" t="s">
        <v>61</v>
      </c>
      <c r="E27" t="s">
        <v>80</v>
      </c>
      <c r="F27">
        <v>1</v>
      </c>
      <c r="G27">
        <v>7.0000000000000007E-2</v>
      </c>
      <c r="H27">
        <v>1</v>
      </c>
      <c r="I27">
        <f t="shared" si="36"/>
        <v>7.0000000000000007E-2</v>
      </c>
      <c r="J27">
        <v>0.14000000000000001</v>
      </c>
      <c r="K27">
        <v>1</v>
      </c>
      <c r="L27">
        <f t="shared" si="37"/>
        <v>0.14000000000000001</v>
      </c>
      <c r="M27">
        <v>0.3</v>
      </c>
      <c r="N27" s="1">
        <f t="shared" si="38"/>
        <v>13.308850092013193</v>
      </c>
      <c r="O27" s="1">
        <f t="shared" si="39"/>
        <v>26.26804461279265</v>
      </c>
      <c r="P27" s="1">
        <f t="shared" si="40"/>
        <v>19.788447352402923</v>
      </c>
      <c r="Q27">
        <v>20</v>
      </c>
      <c r="S27">
        <f t="shared" si="5"/>
        <v>1</v>
      </c>
      <c r="T27" s="1">
        <f t="shared" si="6"/>
        <v>0.55657245369692943</v>
      </c>
      <c r="U27" s="1">
        <f t="shared" si="7"/>
        <v>0.58955606048627085</v>
      </c>
      <c r="V27" s="1">
        <f t="shared" si="8"/>
        <v>1</v>
      </c>
      <c r="W27" s="1">
        <f t="shared" si="9"/>
        <v>0.58955606048627085</v>
      </c>
      <c r="X27" s="1">
        <f t="shared" si="10"/>
        <v>0.65915961501066944</v>
      </c>
      <c r="Y27">
        <v>0.97</v>
      </c>
      <c r="Z27" s="1">
        <f t="shared" si="11"/>
        <v>15.206855235775082</v>
      </c>
      <c r="AA27" s="1">
        <f t="shared" si="12"/>
        <v>0.27254385168065975</v>
      </c>
      <c r="AB27" s="1">
        <f t="shared" si="13"/>
        <v>0.53570068726571429</v>
      </c>
      <c r="AD27" s="1">
        <v>20</v>
      </c>
      <c r="AE27" s="1">
        <v>0.7</v>
      </c>
      <c r="AF27" s="1">
        <f t="shared" si="41"/>
        <v>14</v>
      </c>
      <c r="AG27" s="1">
        <f t="shared" si="30"/>
        <v>0.27450980392156865</v>
      </c>
      <c r="AH27" s="1">
        <v>1</v>
      </c>
      <c r="AI27" s="1">
        <v>0.56999999999999995</v>
      </c>
      <c r="AJ27" s="1">
        <v>1</v>
      </c>
      <c r="AK27" s="1"/>
      <c r="AL27" s="1"/>
      <c r="AN27" s="1">
        <f t="shared" si="14"/>
        <v>0.7</v>
      </c>
      <c r="AO27" s="1">
        <f t="shared" si="15"/>
        <v>0.88529829083062761</v>
      </c>
      <c r="AP27" s="1">
        <f t="shared" si="16"/>
        <v>0.88529829083062761</v>
      </c>
      <c r="AQ27" s="1">
        <f t="shared" si="17"/>
        <v>1</v>
      </c>
      <c r="AR27" s="1">
        <f t="shared" si="18"/>
        <v>1</v>
      </c>
      <c r="AS27" s="1">
        <f t="shared" si="19"/>
        <v>1</v>
      </c>
      <c r="AT27" s="1">
        <f t="shared" si="20"/>
        <v>0.92386445175601228</v>
      </c>
      <c r="AU27" s="11">
        <f t="shared" si="21"/>
        <v>0.49491482174605811</v>
      </c>
      <c r="AW27" s="1">
        <v>59</v>
      </c>
      <c r="AX27" s="12">
        <v>12</v>
      </c>
      <c r="AZ27" s="11">
        <f t="shared" si="22"/>
        <v>0.90769230769230769</v>
      </c>
      <c r="BA27" s="11">
        <f t="shared" si="23"/>
        <v>0.90769230769230769</v>
      </c>
      <c r="BB27" s="11">
        <f t="shared" si="24"/>
        <v>2.4539877300613498E-2</v>
      </c>
      <c r="BC27" s="11">
        <f t="shared" si="25"/>
        <v>2.4539877300613498E-2</v>
      </c>
      <c r="BD27" s="11">
        <f t="shared" si="26"/>
        <v>0.77304019232428089</v>
      </c>
      <c r="BF27" s="11">
        <f t="shared" si="27"/>
        <v>0.45393680752771265</v>
      </c>
      <c r="BG27" s="11">
        <f t="shared" si="28"/>
        <v>0.62258727129101044</v>
      </c>
      <c r="BI27" s="11">
        <v>0.62258727129101044</v>
      </c>
      <c r="BJ27" s="11">
        <v>0.37824423521116496</v>
      </c>
      <c r="BK27" s="11">
        <v>6.1671164211273811E-2</v>
      </c>
      <c r="BM27" s="11">
        <f t="shared" si="34"/>
        <v>0.40183233020511805</v>
      </c>
      <c r="BN27" s="11">
        <f t="shared" si="31"/>
        <v>0.31631226757717212</v>
      </c>
      <c r="BP27" s="11">
        <f t="shared" si="32"/>
        <v>0.64595523989184656</v>
      </c>
      <c r="BQ27" s="11">
        <f t="shared" si="33"/>
        <v>0.50268288904204683</v>
      </c>
    </row>
    <row r="28" spans="1:69" x14ac:dyDescent="0.35">
      <c r="A28" t="s">
        <v>76</v>
      </c>
      <c r="B28" t="s">
        <v>83</v>
      </c>
      <c r="C28">
        <v>15</v>
      </c>
      <c r="D28" t="s">
        <v>61</v>
      </c>
      <c r="E28" t="s">
        <v>81</v>
      </c>
      <c r="F28">
        <v>1</v>
      </c>
      <c r="G28">
        <v>7.0000000000000007E-2</v>
      </c>
      <c r="H28">
        <v>1</v>
      </c>
      <c r="I28">
        <f t="shared" si="36"/>
        <v>7.0000000000000007E-2</v>
      </c>
      <c r="J28">
        <v>0.14000000000000001</v>
      </c>
      <c r="K28">
        <v>1</v>
      </c>
      <c r="L28">
        <f t="shared" si="37"/>
        <v>0.14000000000000001</v>
      </c>
      <c r="M28">
        <v>0.3</v>
      </c>
      <c r="N28" s="1">
        <f t="shared" si="38"/>
        <v>13.308850092013193</v>
      </c>
      <c r="O28" s="1">
        <f t="shared" si="39"/>
        <v>26.26804461279265</v>
      </c>
      <c r="P28" s="1">
        <f t="shared" si="40"/>
        <v>19.788447352402923</v>
      </c>
      <c r="Q28">
        <v>15</v>
      </c>
      <c r="S28">
        <f t="shared" si="5"/>
        <v>1</v>
      </c>
      <c r="T28" s="1">
        <f t="shared" si="6"/>
        <v>0.55657245369692943</v>
      </c>
      <c r="U28" s="1">
        <f t="shared" si="7"/>
        <v>0.58955606048627085</v>
      </c>
      <c r="V28" s="1">
        <f t="shared" si="8"/>
        <v>1</v>
      </c>
      <c r="W28" s="1">
        <f t="shared" si="9"/>
        <v>0.58955606048627085</v>
      </c>
      <c r="X28" s="1">
        <f t="shared" si="10"/>
        <v>0.65915961501066944</v>
      </c>
      <c r="Y28">
        <v>0.97</v>
      </c>
      <c r="Z28" s="1">
        <f t="shared" si="11"/>
        <v>12.224960362107014</v>
      </c>
      <c r="AA28" s="1">
        <f t="shared" si="12"/>
        <v>0.21910103910857787</v>
      </c>
      <c r="AB28" s="1">
        <f t="shared" si="13"/>
        <v>0.49091400583955019</v>
      </c>
      <c r="AD28" s="1">
        <v>15</v>
      </c>
      <c r="AE28" s="1">
        <v>0.75</v>
      </c>
      <c r="AF28" s="1">
        <f t="shared" si="41"/>
        <v>11.25</v>
      </c>
      <c r="AG28" s="1">
        <f t="shared" si="30"/>
        <v>0.22058823529411764</v>
      </c>
      <c r="AH28" s="1">
        <v>1</v>
      </c>
      <c r="AI28" s="1">
        <v>0.56999999999999995</v>
      </c>
      <c r="AJ28" s="1">
        <v>1</v>
      </c>
      <c r="AK28" s="1"/>
      <c r="AL28" s="1"/>
      <c r="AN28" s="1">
        <f t="shared" si="14"/>
        <v>0.75</v>
      </c>
      <c r="AO28" s="1">
        <f t="shared" si="15"/>
        <v>0.8983192906175117</v>
      </c>
      <c r="AP28" s="1">
        <f t="shared" si="16"/>
        <v>0.8983192906175117</v>
      </c>
      <c r="AQ28" s="1">
        <f t="shared" si="17"/>
        <v>1</v>
      </c>
      <c r="AR28" s="1">
        <f t="shared" si="18"/>
        <v>1</v>
      </c>
      <c r="AS28" s="1">
        <f t="shared" si="19"/>
        <v>1</v>
      </c>
      <c r="AT28" s="1">
        <f t="shared" si="20"/>
        <v>0.93267421828292907</v>
      </c>
      <c r="AU28" s="11">
        <f t="shared" si="21"/>
        <v>0.45786283664054378</v>
      </c>
      <c r="AW28" s="1">
        <v>59</v>
      </c>
      <c r="AX28" s="12">
        <v>12</v>
      </c>
      <c r="AZ28" s="11">
        <f t="shared" si="22"/>
        <v>0.90769230769230769</v>
      </c>
      <c r="BA28" s="11">
        <f t="shared" si="23"/>
        <v>0.90769230769230769</v>
      </c>
      <c r="BB28" s="11">
        <f t="shared" si="24"/>
        <v>2.4539877300613498E-2</v>
      </c>
      <c r="BC28" s="11">
        <f t="shared" si="25"/>
        <v>2.4539877300613498E-2</v>
      </c>
      <c r="BD28" s="11">
        <f t="shared" si="26"/>
        <v>0.77304019232428089</v>
      </c>
      <c r="BF28" s="11">
        <f t="shared" si="27"/>
        <v>0.41995265693787331</v>
      </c>
      <c r="BG28" s="11">
        <f t="shared" si="28"/>
        <v>0.57597704001651928</v>
      </c>
      <c r="BI28" s="11">
        <v>0.57597704001651928</v>
      </c>
      <c r="BJ28" s="11">
        <v>0.37824423521116496</v>
      </c>
      <c r="BK28" s="11">
        <v>6.1671164211273811E-2</v>
      </c>
      <c r="BM28" s="11">
        <f t="shared" si="34"/>
        <v>0.37619670300414793</v>
      </c>
      <c r="BN28" s="11">
        <f t="shared" si="31"/>
        <v>0.30699022132227394</v>
      </c>
      <c r="BP28" s="11">
        <f t="shared" si="32"/>
        <v>0.60474534592953721</v>
      </c>
      <c r="BQ28" s="11">
        <f t="shared" si="33"/>
        <v>0.48786830983179685</v>
      </c>
    </row>
    <row r="29" spans="1:69" x14ac:dyDescent="0.35">
      <c r="A29" t="s">
        <v>76</v>
      </c>
      <c r="B29" t="s">
        <v>83</v>
      </c>
      <c r="C29">
        <v>10</v>
      </c>
      <c r="D29" t="s">
        <v>61</v>
      </c>
      <c r="E29" t="s">
        <v>82</v>
      </c>
      <c r="F29">
        <v>1</v>
      </c>
      <c r="G29">
        <v>7.0000000000000007E-2</v>
      </c>
      <c r="H29">
        <v>1</v>
      </c>
      <c r="I29">
        <f t="shared" si="36"/>
        <v>7.0000000000000007E-2</v>
      </c>
      <c r="J29">
        <v>0.14000000000000001</v>
      </c>
      <c r="K29">
        <v>1</v>
      </c>
      <c r="L29">
        <f t="shared" si="37"/>
        <v>0.14000000000000001</v>
      </c>
      <c r="M29">
        <v>0.3</v>
      </c>
      <c r="N29" s="1">
        <f t="shared" si="38"/>
        <v>13.308850092013193</v>
      </c>
      <c r="O29" s="1">
        <f t="shared" si="39"/>
        <v>26.26804461279265</v>
      </c>
      <c r="P29" s="1">
        <f t="shared" si="40"/>
        <v>19.788447352402923</v>
      </c>
      <c r="Q29">
        <v>10</v>
      </c>
      <c r="S29">
        <f t="shared" si="5"/>
        <v>1</v>
      </c>
      <c r="T29" s="1">
        <f t="shared" si="6"/>
        <v>0.55657245369692943</v>
      </c>
      <c r="U29" s="1">
        <f t="shared" si="7"/>
        <v>0.58955606048627085</v>
      </c>
      <c r="V29" s="1">
        <f t="shared" si="8"/>
        <v>1</v>
      </c>
      <c r="W29" s="1">
        <f t="shared" si="9"/>
        <v>0.58955606048627085</v>
      </c>
      <c r="X29" s="1">
        <f t="shared" si="10"/>
        <v>0.65915961501066944</v>
      </c>
      <c r="Y29">
        <v>0.97</v>
      </c>
      <c r="Z29" s="1">
        <f t="shared" si="11"/>
        <v>8.7525291035023862</v>
      </c>
      <c r="AA29" s="1">
        <f t="shared" si="12"/>
        <v>0.15686662079899966</v>
      </c>
      <c r="AB29" s="1">
        <f t="shared" si="13"/>
        <v>0.42949673262567356</v>
      </c>
      <c r="AD29" s="1">
        <v>10</v>
      </c>
      <c r="AE29" s="1">
        <v>0.8</v>
      </c>
      <c r="AF29" s="1">
        <f t="shared" si="41"/>
        <v>8</v>
      </c>
      <c r="AG29" s="1">
        <f t="shared" si="30"/>
        <v>0.15686274509803921</v>
      </c>
      <c r="AH29" s="1">
        <v>1</v>
      </c>
      <c r="AI29" s="1">
        <v>0.56999999999999995</v>
      </c>
      <c r="AJ29" s="1">
        <v>1</v>
      </c>
      <c r="AK29" s="1"/>
      <c r="AL29" s="1"/>
      <c r="AN29" s="1">
        <f t="shared" si="14"/>
        <v>0.8</v>
      </c>
      <c r="AO29" s="1">
        <f t="shared" si="15"/>
        <v>0.91042536754224457</v>
      </c>
      <c r="AP29" s="1">
        <f t="shared" si="16"/>
        <v>0.91042536754224457</v>
      </c>
      <c r="AQ29" s="1">
        <f t="shared" si="17"/>
        <v>1</v>
      </c>
      <c r="AR29" s="1">
        <f t="shared" si="18"/>
        <v>1</v>
      </c>
      <c r="AS29" s="1">
        <f t="shared" si="19"/>
        <v>1</v>
      </c>
      <c r="AT29" s="1">
        <f t="shared" si="20"/>
        <v>0.94082495331113425</v>
      </c>
      <c r="AU29" s="11">
        <f t="shared" si="21"/>
        <v>0.40408124341983404</v>
      </c>
      <c r="AW29" s="1">
        <v>59</v>
      </c>
      <c r="AX29" s="12">
        <v>12</v>
      </c>
      <c r="AZ29" s="11">
        <f t="shared" si="22"/>
        <v>0.90769230769230769</v>
      </c>
      <c r="BA29" s="11">
        <f t="shared" si="23"/>
        <v>0.90769230769230769</v>
      </c>
      <c r="BB29" s="11">
        <f t="shared" si="24"/>
        <v>2.4539877300613498E-2</v>
      </c>
      <c r="BC29" s="11">
        <f t="shared" si="25"/>
        <v>2.4539877300613498E-2</v>
      </c>
      <c r="BD29" s="11">
        <f t="shared" si="26"/>
        <v>0.77304019232428089</v>
      </c>
      <c r="BF29" s="11">
        <f t="shared" si="27"/>
        <v>0.37062407824582183</v>
      </c>
      <c r="BG29" s="11">
        <f t="shared" si="28"/>
        <v>0.50832148819684608</v>
      </c>
      <c r="BI29" s="11">
        <v>0.50832148819684608</v>
      </c>
      <c r="BJ29" s="11">
        <v>0.37824423521116496</v>
      </c>
      <c r="BK29" s="11">
        <v>6.1671164211273811E-2</v>
      </c>
      <c r="BM29" s="11">
        <f t="shared" si="34"/>
        <v>0.33898614950332767</v>
      </c>
      <c r="BN29" s="11">
        <f t="shared" si="31"/>
        <v>0.29345911095833926</v>
      </c>
      <c r="BP29" s="11">
        <f t="shared" si="32"/>
        <v>0.54492847653811416</v>
      </c>
      <c r="BQ29" s="11">
        <f t="shared" si="33"/>
        <v>0.46636469347891552</v>
      </c>
    </row>
    <row r="30" spans="1:69" x14ac:dyDescent="0.35">
      <c r="A30" t="s">
        <v>76</v>
      </c>
      <c r="B30" t="s">
        <v>83</v>
      </c>
      <c r="C30">
        <v>5</v>
      </c>
      <c r="D30" t="s">
        <v>61</v>
      </c>
      <c r="E30" t="s">
        <v>84</v>
      </c>
      <c r="F30">
        <v>1</v>
      </c>
      <c r="G30">
        <v>7.0000000000000007E-2</v>
      </c>
      <c r="H30">
        <v>1</v>
      </c>
      <c r="I30">
        <f t="shared" si="36"/>
        <v>7.0000000000000007E-2</v>
      </c>
      <c r="J30">
        <v>0.14000000000000001</v>
      </c>
      <c r="K30">
        <v>1</v>
      </c>
      <c r="L30">
        <f t="shared" si="37"/>
        <v>0.14000000000000001</v>
      </c>
      <c r="M30">
        <v>0.3</v>
      </c>
      <c r="N30" s="1">
        <f t="shared" si="38"/>
        <v>13.308850092013193</v>
      </c>
      <c r="O30" s="1">
        <f t="shared" si="39"/>
        <v>26.26804461279265</v>
      </c>
      <c r="P30" s="1">
        <f t="shared" si="40"/>
        <v>19.788447352402923</v>
      </c>
      <c r="Q30">
        <v>5</v>
      </c>
      <c r="S30">
        <f t="shared" si="5"/>
        <v>1</v>
      </c>
      <c r="T30" s="1">
        <f t="shared" si="6"/>
        <v>0.55657245369692943</v>
      </c>
      <c r="U30" s="1">
        <f t="shared" si="7"/>
        <v>0.58955606048627085</v>
      </c>
      <c r="V30" s="1">
        <f t="shared" si="8"/>
        <v>1</v>
      </c>
      <c r="W30" s="1">
        <f t="shared" si="9"/>
        <v>0.58955606048627085</v>
      </c>
      <c r="X30" s="1">
        <f t="shared" si="10"/>
        <v>0.65915961501066944</v>
      </c>
      <c r="Y30">
        <v>0.97</v>
      </c>
      <c r="Z30" s="1">
        <f t="shared" si="11"/>
        <v>4.7088658099999989</v>
      </c>
      <c r="AA30" s="1">
        <f t="shared" si="12"/>
        <v>8.439433433189758E-2</v>
      </c>
      <c r="AB30" s="1">
        <f t="shared" si="13"/>
        <v>0.33517603926481021</v>
      </c>
      <c r="AD30" s="1">
        <v>5</v>
      </c>
      <c r="AE30" s="1">
        <v>0.85</v>
      </c>
      <c r="AF30" s="1">
        <f t="shared" si="41"/>
        <v>4.25</v>
      </c>
      <c r="AG30" s="1">
        <f t="shared" si="30"/>
        <v>8.3333333333333329E-2</v>
      </c>
      <c r="AH30" s="1">
        <v>1</v>
      </c>
      <c r="AI30" s="1">
        <v>0.56999999999999995</v>
      </c>
      <c r="AJ30" s="1">
        <v>1</v>
      </c>
      <c r="AK30" s="1"/>
      <c r="AL30" s="1"/>
      <c r="AN30" s="1">
        <f t="shared" si="14"/>
        <v>0.85</v>
      </c>
      <c r="AO30" s="1">
        <f t="shared" si="15"/>
        <v>0.92163457311684593</v>
      </c>
      <c r="AP30" s="1">
        <f t="shared" si="16"/>
        <v>0.92163457311684593</v>
      </c>
      <c r="AQ30" s="1">
        <f t="shared" si="17"/>
        <v>1</v>
      </c>
      <c r="AR30" s="1">
        <f t="shared" si="18"/>
        <v>1</v>
      </c>
      <c r="AS30" s="1">
        <f t="shared" si="19"/>
        <v>1</v>
      </c>
      <c r="AT30" s="1">
        <f t="shared" si="20"/>
        <v>0.94833808639889539</v>
      </c>
      <c r="AU30" s="11">
        <f t="shared" si="21"/>
        <v>0.31786020368315115</v>
      </c>
      <c r="AW30" s="1">
        <v>59</v>
      </c>
      <c r="AX30" s="12">
        <v>12</v>
      </c>
      <c r="AZ30" s="11">
        <f t="shared" si="22"/>
        <v>0.90769230769230769</v>
      </c>
      <c r="BA30" s="11">
        <f t="shared" si="23"/>
        <v>0.90769230769230769</v>
      </c>
      <c r="BB30" s="11">
        <f t="shared" si="24"/>
        <v>2.4539877300613498E-2</v>
      </c>
      <c r="BC30" s="11">
        <f t="shared" si="25"/>
        <v>2.4539877300613498E-2</v>
      </c>
      <c r="BD30" s="11">
        <f t="shared" si="26"/>
        <v>0.77304019232428089</v>
      </c>
      <c r="BF30" s="11">
        <f t="shared" si="27"/>
        <v>0.29154197805389798</v>
      </c>
      <c r="BG30" s="11">
        <f t="shared" si="28"/>
        <v>0.39985813349643134</v>
      </c>
      <c r="BI30" s="11">
        <v>0.39985813349643134</v>
      </c>
      <c r="BJ30" s="11">
        <v>0.37824423521116496</v>
      </c>
      <c r="BK30" s="11">
        <v>6.1671164211273811E-2</v>
      </c>
      <c r="BM30" s="11">
        <f t="shared" si="34"/>
        <v>0.27933130441809956</v>
      </c>
      <c r="BN30" s="11">
        <f t="shared" si="31"/>
        <v>0.27176644001825634</v>
      </c>
      <c r="BP30" s="11">
        <f t="shared" si="32"/>
        <v>0.44903186277368817</v>
      </c>
      <c r="BQ30" s="11">
        <f t="shared" si="33"/>
        <v>0.43189073967774366</v>
      </c>
    </row>
    <row r="31" spans="1:69" x14ac:dyDescent="0.35">
      <c r="A31" t="s">
        <v>76</v>
      </c>
      <c r="B31" t="s">
        <v>85</v>
      </c>
      <c r="C31">
        <v>120</v>
      </c>
      <c r="D31" t="s">
        <v>61</v>
      </c>
      <c r="E31" t="s">
        <v>86</v>
      </c>
      <c r="F31">
        <v>1</v>
      </c>
      <c r="G31">
        <v>0.38</v>
      </c>
      <c r="H31">
        <v>0.6</v>
      </c>
      <c r="I31">
        <f t="shared" si="36"/>
        <v>0.22799999999999998</v>
      </c>
      <c r="J31">
        <v>0.22</v>
      </c>
      <c r="K31">
        <v>0.6</v>
      </c>
      <c r="L31">
        <f t="shared" si="37"/>
        <v>0.13200000000000001</v>
      </c>
      <c r="M31">
        <v>0.4</v>
      </c>
      <c r="N31" s="1">
        <f t="shared" si="38"/>
        <v>31.815103861051682</v>
      </c>
      <c r="O31" s="1">
        <f t="shared" si="39"/>
        <v>18.738770192974965</v>
      </c>
      <c r="P31" s="1">
        <f t="shared" si="40"/>
        <v>25.276937027013325</v>
      </c>
      <c r="Q31">
        <v>120</v>
      </c>
      <c r="S31">
        <f t="shared" si="5"/>
        <v>1</v>
      </c>
      <c r="T31" s="1">
        <f t="shared" si="6"/>
        <v>0.71094243082993758</v>
      </c>
      <c r="U31" s="1">
        <f t="shared" si="7"/>
        <v>0.67938295976267871</v>
      </c>
      <c r="V31" s="1">
        <f t="shared" si="8"/>
        <v>1</v>
      </c>
      <c r="W31" s="1">
        <f t="shared" si="9"/>
        <v>0.67938295976267871</v>
      </c>
      <c r="X31" s="1">
        <f t="shared" si="10"/>
        <v>0.75959156425702612</v>
      </c>
      <c r="Y31">
        <v>0.98499999999999999</v>
      </c>
      <c r="Z31" s="1">
        <f t="shared" si="11"/>
        <v>55.795994450071063</v>
      </c>
      <c r="AA31" s="1">
        <f t="shared" si="12"/>
        <v>1</v>
      </c>
      <c r="AB31" s="1">
        <f t="shared" si="13"/>
        <v>0.93356601441058606</v>
      </c>
      <c r="AD31" s="1">
        <v>120</v>
      </c>
      <c r="AE31" s="1">
        <v>0.36</v>
      </c>
      <c r="AF31" s="1">
        <f t="shared" si="41"/>
        <v>43.199999999999996</v>
      </c>
      <c r="AG31" s="1">
        <f t="shared" si="30"/>
        <v>0.84705882352941164</v>
      </c>
      <c r="AH31" s="1">
        <v>0.82</v>
      </c>
      <c r="AI31" s="1">
        <v>0.4</v>
      </c>
      <c r="AJ31" s="1">
        <v>1</v>
      </c>
      <c r="AK31" s="1"/>
      <c r="AL31" s="1"/>
      <c r="AN31" s="1">
        <f t="shared" si="14"/>
        <v>0.36</v>
      </c>
      <c r="AO31" s="1">
        <f t="shared" si="15"/>
        <v>0.730047051918989</v>
      </c>
      <c r="AP31" s="1">
        <f t="shared" si="16"/>
        <v>0.730047051918989</v>
      </c>
      <c r="AQ31" s="1">
        <f t="shared" si="17"/>
        <v>0.82</v>
      </c>
      <c r="AR31" s="1">
        <f t="shared" si="18"/>
        <v>1</v>
      </c>
      <c r="AS31" s="1">
        <f t="shared" si="19"/>
        <v>0.9328994742754344</v>
      </c>
      <c r="AT31" s="1">
        <f>POWER( POWER(AP31, $AP$129) * POWER(AS31, $AS$129), 1/($AP$129+$AS$129) )</f>
        <v>0.79546348838946057</v>
      </c>
      <c r="AU31" s="11">
        <f>AB31*AT31</f>
        <v>0.74261767846489024</v>
      </c>
      <c r="AW31" s="1">
        <v>59</v>
      </c>
      <c r="AX31" s="12">
        <v>4</v>
      </c>
      <c r="AZ31" s="11">
        <f t="shared" si="22"/>
        <v>0.90769230769230769</v>
      </c>
      <c r="BA31" s="11">
        <f t="shared" si="23"/>
        <v>0.90769230769230769</v>
      </c>
      <c r="BB31" s="11">
        <f t="shared" si="24"/>
        <v>0</v>
      </c>
      <c r="BC31" s="11">
        <f t="shared" si="25"/>
        <v>0</v>
      </c>
      <c r="BD31" s="11">
        <f t="shared" si="26"/>
        <v>1</v>
      </c>
      <c r="BF31" s="11">
        <f t="shared" si="27"/>
        <v>0.72911353710527915</v>
      </c>
      <c r="BG31" s="11">
        <f t="shared" si="28"/>
        <v>1</v>
      </c>
      <c r="BI31" s="11">
        <v>1</v>
      </c>
      <c r="BJ31" s="11">
        <v>0.37824423521116496</v>
      </c>
      <c r="BK31" s="11">
        <v>6.1671164211273811E-2</v>
      </c>
      <c r="BM31" s="11">
        <f t="shared" si="34"/>
        <v>0.60940933099506234</v>
      </c>
      <c r="BN31" s="11">
        <f t="shared" si="31"/>
        <v>0.39179481331897004</v>
      </c>
      <c r="BP31" s="11">
        <f t="shared" si="32"/>
        <v>0.97964031513916094</v>
      </c>
      <c r="BQ31" s="11">
        <f t="shared" si="33"/>
        <v>0.62263961552745928</v>
      </c>
    </row>
    <row r="32" spans="1:69" x14ac:dyDescent="0.35">
      <c r="A32" t="s">
        <v>76</v>
      </c>
      <c r="B32" t="s">
        <v>85</v>
      </c>
      <c r="C32">
        <v>90</v>
      </c>
      <c r="D32" t="s">
        <v>61</v>
      </c>
      <c r="E32" t="s">
        <v>87</v>
      </c>
      <c r="F32">
        <v>1</v>
      </c>
      <c r="G32">
        <v>0.38</v>
      </c>
      <c r="H32">
        <v>0.6</v>
      </c>
      <c r="I32">
        <f t="shared" si="36"/>
        <v>0.22799999999999998</v>
      </c>
      <c r="J32">
        <v>0.22</v>
      </c>
      <c r="K32">
        <v>0.6</v>
      </c>
      <c r="L32">
        <f t="shared" si="37"/>
        <v>0.13200000000000001</v>
      </c>
      <c r="M32">
        <v>0.4</v>
      </c>
      <c r="N32" s="1">
        <f t="shared" si="38"/>
        <v>31.815103861051682</v>
      </c>
      <c r="O32" s="1">
        <f t="shared" si="39"/>
        <v>18.738770192974965</v>
      </c>
      <c r="P32" s="1">
        <f t="shared" si="40"/>
        <v>25.276937027013325</v>
      </c>
      <c r="Q32">
        <v>90</v>
      </c>
      <c r="S32">
        <f t="shared" si="5"/>
        <v>1</v>
      </c>
      <c r="T32" s="1">
        <f t="shared" si="6"/>
        <v>0.71094243082993758</v>
      </c>
      <c r="U32" s="1">
        <f t="shared" si="7"/>
        <v>0.67938295976267871</v>
      </c>
      <c r="V32" s="1">
        <f t="shared" si="8"/>
        <v>1</v>
      </c>
      <c r="W32" s="1">
        <f t="shared" si="9"/>
        <v>0.67938295976267871</v>
      </c>
      <c r="X32" s="1">
        <f t="shared" si="10"/>
        <v>0.75959156425702612</v>
      </c>
      <c r="Y32">
        <v>0.98499999999999999</v>
      </c>
      <c r="Z32" s="1">
        <f t="shared" si="11"/>
        <v>49.559838787788216</v>
      </c>
      <c r="AA32" s="1">
        <f t="shared" si="12"/>
        <v>0.88823291485801437</v>
      </c>
      <c r="AB32" s="1">
        <f t="shared" si="13"/>
        <v>0.89033978078290443</v>
      </c>
      <c r="AD32" s="1">
        <v>90</v>
      </c>
      <c r="AE32" s="1">
        <v>0.38</v>
      </c>
      <c r="AF32" s="1">
        <f t="shared" si="41"/>
        <v>34.200000000000003</v>
      </c>
      <c r="AG32" s="1">
        <f t="shared" si="30"/>
        <v>0.67058823529411771</v>
      </c>
      <c r="AH32" s="1">
        <v>0.82</v>
      </c>
      <c r="AI32" s="1">
        <v>0.4</v>
      </c>
      <c r="AJ32" s="1">
        <v>1</v>
      </c>
      <c r="AK32" s="1"/>
      <c r="AL32" s="1"/>
      <c r="AN32" s="1">
        <f t="shared" si="14"/>
        <v>0.38</v>
      </c>
      <c r="AO32" s="1">
        <f t="shared" si="15"/>
        <v>0.74204164130001393</v>
      </c>
      <c r="AP32" s="1">
        <f t="shared" si="16"/>
        <v>0.74204164130001393</v>
      </c>
      <c r="AQ32" s="1">
        <f t="shared" si="17"/>
        <v>0.82</v>
      </c>
      <c r="AR32" s="1">
        <f t="shared" si="18"/>
        <v>1</v>
      </c>
      <c r="AS32" s="1">
        <f t="shared" si="19"/>
        <v>0.9328994742754344</v>
      </c>
      <c r="AT32" s="1">
        <f t="shared" si="20"/>
        <v>0.80393433496391975</v>
      </c>
      <c r="AU32" s="11">
        <f t="shared" si="21"/>
        <v>0.71577471955562633</v>
      </c>
      <c r="AW32" s="1">
        <v>59</v>
      </c>
      <c r="AX32" s="12">
        <v>4</v>
      </c>
      <c r="AZ32" s="11">
        <f t="shared" si="22"/>
        <v>0.90769230769230769</v>
      </c>
      <c r="BA32" s="11">
        <f t="shared" si="23"/>
        <v>0.90769230769230769</v>
      </c>
      <c r="BB32" s="11">
        <f t="shared" si="24"/>
        <v>0</v>
      </c>
      <c r="BC32" s="11">
        <f t="shared" si="25"/>
        <v>0</v>
      </c>
      <c r="BD32" s="11">
        <f t="shared" si="26"/>
        <v>1</v>
      </c>
      <c r="BF32" s="11">
        <f t="shared" si="27"/>
        <v>0.70275870435047239</v>
      </c>
      <c r="BG32" s="11">
        <f t="shared" si="28"/>
        <v>0.9638535956149703</v>
      </c>
      <c r="BI32" s="11">
        <v>0.9638535956149703</v>
      </c>
      <c r="BJ32" s="11">
        <v>0.37824423521116496</v>
      </c>
      <c r="BK32" s="11">
        <v>6.1671164211273811E-2</v>
      </c>
      <c r="BM32" s="11">
        <f t="shared" si="34"/>
        <v>0.58952880858329604</v>
      </c>
      <c r="BN32" s="11">
        <f t="shared" si="31"/>
        <v>0.38456553244196412</v>
      </c>
      <c r="BP32" s="11">
        <f t="shared" si="32"/>
        <v>0.94768189203987352</v>
      </c>
      <c r="BQ32" s="11">
        <f t="shared" si="33"/>
        <v>0.61115085530710789</v>
      </c>
    </row>
    <row r="33" spans="1:69" x14ac:dyDescent="0.35">
      <c r="A33" t="s">
        <v>76</v>
      </c>
      <c r="B33" t="s">
        <v>85</v>
      </c>
      <c r="C33">
        <v>60</v>
      </c>
      <c r="D33" t="s">
        <v>61</v>
      </c>
      <c r="E33" t="s">
        <v>88</v>
      </c>
      <c r="F33">
        <v>1</v>
      </c>
      <c r="G33">
        <v>0.38</v>
      </c>
      <c r="H33">
        <v>0.6</v>
      </c>
      <c r="I33">
        <f t="shared" si="36"/>
        <v>0.22799999999999998</v>
      </c>
      <c r="J33">
        <v>0.22</v>
      </c>
      <c r="K33">
        <v>0.6</v>
      </c>
      <c r="L33">
        <f t="shared" si="37"/>
        <v>0.13200000000000001</v>
      </c>
      <c r="M33">
        <v>0.4</v>
      </c>
      <c r="N33" s="1">
        <f t="shared" si="38"/>
        <v>31.815103861051682</v>
      </c>
      <c r="O33" s="1">
        <f t="shared" si="39"/>
        <v>18.738770192974965</v>
      </c>
      <c r="P33" s="1">
        <f t="shared" si="40"/>
        <v>25.276937027013325</v>
      </c>
      <c r="Q33">
        <v>60</v>
      </c>
      <c r="S33">
        <f t="shared" si="5"/>
        <v>1</v>
      </c>
      <c r="T33" s="1">
        <f t="shared" si="6"/>
        <v>0.71094243082993758</v>
      </c>
      <c r="U33" s="1">
        <f t="shared" si="7"/>
        <v>0.67938295976267871</v>
      </c>
      <c r="V33" s="1">
        <f t="shared" si="8"/>
        <v>1</v>
      </c>
      <c r="W33" s="1">
        <f t="shared" si="9"/>
        <v>0.67938295976267871</v>
      </c>
      <c r="X33" s="1">
        <f t="shared" si="10"/>
        <v>0.75959156425702612</v>
      </c>
      <c r="Y33">
        <v>0.98499999999999999</v>
      </c>
      <c r="Z33" s="1">
        <f t="shared" si="11"/>
        <v>39.746200825482347</v>
      </c>
      <c r="AA33" s="1">
        <f t="shared" si="12"/>
        <v>0.71234864110270779</v>
      </c>
      <c r="AB33" s="1">
        <f t="shared" si="13"/>
        <v>0.81512098363389662</v>
      </c>
      <c r="AD33" s="1">
        <v>60</v>
      </c>
      <c r="AE33" s="1">
        <v>0.4</v>
      </c>
      <c r="AF33" s="1">
        <f t="shared" si="41"/>
        <v>24</v>
      </c>
      <c r="AG33" s="1">
        <f t="shared" si="30"/>
        <v>0.47058823529411764</v>
      </c>
      <c r="AH33" s="1">
        <v>0.82</v>
      </c>
      <c r="AI33" s="1">
        <v>0.4</v>
      </c>
      <c r="AJ33" s="1">
        <v>1</v>
      </c>
      <c r="AK33" s="1"/>
      <c r="AL33" s="1"/>
      <c r="AN33" s="1">
        <f t="shared" si="14"/>
        <v>0.4</v>
      </c>
      <c r="AO33" s="1">
        <f t="shared" si="15"/>
        <v>0.75347040835556045</v>
      </c>
      <c r="AP33" s="1">
        <f t="shared" si="16"/>
        <v>0.75347040835556045</v>
      </c>
      <c r="AQ33" s="1">
        <f t="shared" si="17"/>
        <v>0.82</v>
      </c>
      <c r="AR33" s="1">
        <f t="shared" si="18"/>
        <v>1</v>
      </c>
      <c r="AS33" s="1">
        <f t="shared" si="19"/>
        <v>0.9328994742754344</v>
      </c>
      <c r="AT33" s="1">
        <f t="shared" si="20"/>
        <v>0.81196110756412954</v>
      </c>
      <c r="AU33" s="11">
        <f t="shared" si="21"/>
        <v>0.66184653667014137</v>
      </c>
      <c r="AW33" s="1">
        <v>59</v>
      </c>
      <c r="AX33" s="12">
        <v>4</v>
      </c>
      <c r="AZ33" s="11">
        <f t="shared" si="22"/>
        <v>0.90769230769230769</v>
      </c>
      <c r="BA33" s="11">
        <f t="shared" si="23"/>
        <v>0.90769230769230769</v>
      </c>
      <c r="BB33" s="11">
        <f t="shared" si="24"/>
        <v>0</v>
      </c>
      <c r="BC33" s="11">
        <f t="shared" si="25"/>
        <v>0</v>
      </c>
      <c r="BD33" s="11">
        <f t="shared" si="26"/>
        <v>1</v>
      </c>
      <c r="BF33" s="11">
        <f t="shared" si="27"/>
        <v>0.64981117924633458</v>
      </c>
      <c r="BG33" s="11">
        <f t="shared" si="28"/>
        <v>0.89123455563067699</v>
      </c>
      <c r="BI33" s="11">
        <v>0.89123455563067699</v>
      </c>
      <c r="BJ33" s="11">
        <v>0.37824423521116496</v>
      </c>
      <c r="BK33" s="11">
        <v>6.1671164211273811E-2</v>
      </c>
      <c r="BM33" s="11">
        <f t="shared" si="34"/>
        <v>0.54958833659193473</v>
      </c>
      <c r="BN33" s="11">
        <f t="shared" si="31"/>
        <v>0.37004172444510547</v>
      </c>
      <c r="BP33" s="11">
        <f t="shared" si="32"/>
        <v>0.88347661230689711</v>
      </c>
      <c r="BQ33" s="11">
        <f t="shared" si="33"/>
        <v>0.58806964565414477</v>
      </c>
    </row>
    <row r="34" spans="1:69" x14ac:dyDescent="0.35">
      <c r="A34" t="s">
        <v>76</v>
      </c>
      <c r="B34" t="s">
        <v>85</v>
      </c>
      <c r="C34">
        <v>30</v>
      </c>
      <c r="D34" t="s">
        <v>61</v>
      </c>
      <c r="E34" t="s">
        <v>78</v>
      </c>
      <c r="F34">
        <v>1</v>
      </c>
      <c r="G34">
        <v>0.38</v>
      </c>
      <c r="H34">
        <v>0.6</v>
      </c>
      <c r="I34">
        <f t="shared" si="36"/>
        <v>0.22799999999999998</v>
      </c>
      <c r="J34">
        <v>0.22</v>
      </c>
      <c r="K34">
        <v>0.6</v>
      </c>
      <c r="L34">
        <f t="shared" si="37"/>
        <v>0.13200000000000001</v>
      </c>
      <c r="M34">
        <v>0.4</v>
      </c>
      <c r="N34" s="1">
        <f t="shared" si="38"/>
        <v>31.815103861051682</v>
      </c>
      <c r="O34" s="1">
        <f t="shared" si="39"/>
        <v>18.738770192974965</v>
      </c>
      <c r="P34" s="1">
        <f t="shared" si="40"/>
        <v>25.276937027013325</v>
      </c>
      <c r="Q34">
        <v>30</v>
      </c>
      <c r="S34">
        <f t="shared" ref="S34:S65" si="42">F34</f>
        <v>1</v>
      </c>
      <c r="T34" s="1">
        <f t="shared" ref="T34:T65" si="43">MIN(1, P34/$S$135)</f>
        <v>0.71094243082993758</v>
      </c>
      <c r="U34" s="1">
        <f t="shared" ref="U34:U65" si="44">1 - POWER(2.718281828, -$S$136 * MIN(1, P34/$S$135))</f>
        <v>0.67938295976267871</v>
      </c>
      <c r="V34" s="1">
        <f t="shared" ref="V34:V65" si="45">1 + MIN($S$138, $S$137 * MAX(0, P34/$S$135 - 1))</f>
        <v>1</v>
      </c>
      <c r="W34" s="1">
        <f t="shared" ref="W34:W65" si="46">U34*V34</f>
        <v>0.67938295976267871</v>
      </c>
      <c r="X34" s="1">
        <f t="shared" ref="X34:X65" si="47">W34/$W$131</f>
        <v>0.75959156425702612</v>
      </c>
      <c r="Y34">
        <v>0.98499999999999999</v>
      </c>
      <c r="Z34" s="1">
        <f t="shared" ref="Z34:Z65" si="48" xml:space="preserve"> (1 - POWER(Y34, Q34)) / (1 - Y34)</f>
        <v>24.302793817910015</v>
      </c>
      <c r="AA34" s="1">
        <f t="shared" ref="AA34:AA65" si="49">Z34/$Z$131</f>
        <v>0.43556520602311916</v>
      </c>
      <c r="AB34" s="1">
        <f t="shared" ref="AB34:AB65" si="50">POWER(PRODUCT(POWER(S34,$S$129),POWER(X34,$X$129),POWER(AA34,$AA$129)),1/SUM($S$129,$X$129,$AA$129))</f>
        <v>0.66952424009494726</v>
      </c>
      <c r="AD34" s="1">
        <v>30</v>
      </c>
      <c r="AE34" s="1">
        <v>0.45</v>
      </c>
      <c r="AF34" s="1">
        <f t="shared" si="41"/>
        <v>13.5</v>
      </c>
      <c r="AG34" s="1">
        <f t="shared" si="30"/>
        <v>0.26470588235294118</v>
      </c>
      <c r="AH34" s="1">
        <v>0.82</v>
      </c>
      <c r="AI34" s="1">
        <v>0.4</v>
      </c>
      <c r="AJ34" s="1">
        <v>1</v>
      </c>
      <c r="AK34" s="1"/>
      <c r="AL34" s="1"/>
      <c r="AN34" s="1">
        <f t="shared" ref="AN34:AN65" si="51">MIN(1, AF34/Q34)</f>
        <v>0.45</v>
      </c>
      <c r="AO34" s="1">
        <f t="shared" ref="AO34:AO65" si="52">MIN(1,
   1 - POWER(
         1 - IFERROR(VLOOKUP(D34, $BR$3:$BS$7, 2, FALSE), 0.92),
         POWER(
            MAX(0, MIN(1, IFERROR(AF34 / Q34, 0))),
            IFERROR(
               INDEX($BT$3:$CE$7,
                      MATCH(D34, $BR$3:$BR$7, 0),
                      MATCH(Q34,  $BT$2:$CE$2, 1)
               ),
               1
            )
         )
      )
)</f>
        <v>0.77587234253208381</v>
      </c>
      <c r="AP34" s="1">
        <f t="shared" ref="AP34:AP65" si="53">AO34</f>
        <v>0.77587234253208381</v>
      </c>
      <c r="AQ34" s="1">
        <f t="shared" ref="AQ34:AQ65" si="54">AH34</f>
        <v>0.82</v>
      </c>
      <c r="AR34" s="1">
        <f t="shared" ref="AR34:AR65" si="55">1/(1+$AR$135*((AJ34-1)/(1+AJ34)))</f>
        <v>1</v>
      </c>
      <c r="AS34" s="1">
        <f t="shared" ref="AS34:AS65" si="56">POWER( POWER(AQ34, $AQ$129) * POWER(AR34, $AR$129), 1/($AQ$129+$AR$129) )</f>
        <v>0.9328994742754344</v>
      </c>
      <c r="AT34" s="1">
        <f t="shared" ref="AT34:AT65" si="57">POWER( POWER(AP34, $AP$129) * POWER(AS34, $AS$129), 1/($AP$129+$AS$129) )</f>
        <v>0.8275721612633381</v>
      </c>
      <c r="AU34" s="11">
        <f t="shared" ref="AU34:AU65" si="58">AB34*AT34</f>
        <v>0.55407962239356956</v>
      </c>
      <c r="AW34" s="1">
        <v>59</v>
      </c>
      <c r="AX34" s="12">
        <v>4</v>
      </c>
      <c r="AZ34" s="11">
        <f t="shared" ref="AZ34:AZ65" si="59">AW34/$AW$131</f>
        <v>0.90769230769230769</v>
      </c>
      <c r="BA34" s="11">
        <f t="shared" ref="BA34:BA65" si="60">AZ34</f>
        <v>0.90769230769230769</v>
      </c>
      <c r="BB34" s="11">
        <f t="shared" ref="BB34:BB65" si="61">(AX34 - $BB$135) / ($BB$136 - $BB$135)</f>
        <v>0</v>
      </c>
      <c r="BC34" s="11">
        <f t="shared" ref="BC34:BC65" si="62">MAX(0, MIN(1, BB34))</f>
        <v>0</v>
      </c>
      <c r="BD34" s="11">
        <f t="shared" ref="BD34:BD65" si="63" xml:space="preserve"> 1 - POWER(BC34, $BD$135)</f>
        <v>1</v>
      </c>
      <c r="BF34" s="11">
        <f t="shared" ref="BF34:BF65" si="64">AU34
 * (1 - $BF$135 * POWER(1 - BA34, $BF$136))
 * (1 - $BF$137 * POWER(1 - BD34, $BF$138))</f>
        <v>0.54400395390053025</v>
      </c>
      <c r="BG34" s="11">
        <f t="shared" ref="BG34:BG65" si="65">BF34/$BF$131</f>
        <v>0.7461169299644751</v>
      </c>
      <c r="BI34" s="11">
        <v>0.7461169299644751</v>
      </c>
      <c r="BJ34" s="11">
        <v>0.37824423521116496</v>
      </c>
      <c r="BK34" s="11">
        <v>6.1671164211273811E-2</v>
      </c>
      <c r="BM34" s="11">
        <f t="shared" si="34"/>
        <v>0.46977364247552361</v>
      </c>
      <c r="BN34" s="11">
        <f t="shared" si="31"/>
        <v>0.34101819931186506</v>
      </c>
      <c r="BP34" s="11">
        <f t="shared" si="32"/>
        <v>0.7551725511116637</v>
      </c>
      <c r="BQ34" s="11">
        <f t="shared" si="33"/>
        <v>0.54194551150053583</v>
      </c>
    </row>
    <row r="35" spans="1:69" x14ac:dyDescent="0.35">
      <c r="A35" t="s">
        <v>89</v>
      </c>
      <c r="B35" t="s">
        <v>90</v>
      </c>
      <c r="C35">
        <v>30</v>
      </c>
      <c r="D35" t="s">
        <v>53</v>
      </c>
      <c r="E35" t="s">
        <v>91</v>
      </c>
      <c r="F35">
        <v>0.7</v>
      </c>
      <c r="G35">
        <v>0.38</v>
      </c>
      <c r="H35">
        <v>0.6</v>
      </c>
      <c r="I35">
        <f t="shared" si="36"/>
        <v>0.22799999999999998</v>
      </c>
      <c r="J35">
        <v>0.22</v>
      </c>
      <c r="K35">
        <v>0.2</v>
      </c>
      <c r="L35">
        <f t="shared" si="37"/>
        <v>4.4000000000000004E-2</v>
      </c>
      <c r="M35">
        <v>0.4</v>
      </c>
      <c r="N35" s="1">
        <f t="shared" si="38"/>
        <v>31.815103861051682</v>
      </c>
      <c r="O35" s="1">
        <f t="shared" si="39"/>
        <v>6.2961921991255183</v>
      </c>
      <c r="P35" s="1">
        <f t="shared" si="40"/>
        <v>19.055648030088602</v>
      </c>
      <c r="Q35">
        <v>30</v>
      </c>
      <c r="S35">
        <f t="shared" si="42"/>
        <v>0.7</v>
      </c>
      <c r="T35" s="1">
        <f t="shared" si="43"/>
        <v>0.53596164428754933</v>
      </c>
      <c r="U35" s="1">
        <f t="shared" si="44"/>
        <v>0.57579507664841478</v>
      </c>
      <c r="V35" s="1">
        <f t="shared" si="45"/>
        <v>1</v>
      </c>
      <c r="W35" s="1">
        <f t="shared" si="46"/>
        <v>0.57579507664841478</v>
      </c>
      <c r="X35" s="1">
        <f t="shared" si="47"/>
        <v>0.64377399620921449</v>
      </c>
      <c r="Y35">
        <v>0.97</v>
      </c>
      <c r="Z35" s="1">
        <f t="shared" si="48"/>
        <v>19.966431048561397</v>
      </c>
      <c r="AA35" s="1">
        <f t="shared" si="49"/>
        <v>0.35784703266519102</v>
      </c>
      <c r="AB35" s="1">
        <f t="shared" si="50"/>
        <v>0.52413919785997432</v>
      </c>
      <c r="AD35" s="1">
        <v>20</v>
      </c>
      <c r="AE35" s="1">
        <v>0.15</v>
      </c>
      <c r="AF35" s="1">
        <f t="shared" si="41"/>
        <v>3</v>
      </c>
      <c r="AG35" s="1">
        <f t="shared" si="30"/>
        <v>5.8823529411764705E-2</v>
      </c>
      <c r="AH35" s="1">
        <v>1</v>
      </c>
      <c r="AI35" s="1">
        <v>0.25</v>
      </c>
      <c r="AJ35" s="1">
        <v>3</v>
      </c>
      <c r="AK35" s="1"/>
      <c r="AL35" s="1"/>
      <c r="AN35" s="1">
        <f t="shared" si="51"/>
        <v>0.1</v>
      </c>
      <c r="AO35" s="1">
        <f t="shared" si="52"/>
        <v>0.37798530970185484</v>
      </c>
      <c r="AP35" s="1">
        <f t="shared" si="53"/>
        <v>0.37798530970185484</v>
      </c>
      <c r="AQ35" s="1">
        <f t="shared" si="54"/>
        <v>1</v>
      </c>
      <c r="AR35" s="1">
        <f t="shared" si="55"/>
        <v>0.8</v>
      </c>
      <c r="AS35" s="1">
        <f t="shared" si="56"/>
        <v>0.86498483123006098</v>
      </c>
      <c r="AT35" s="1">
        <f t="shared" si="57"/>
        <v>0.50502359718713818</v>
      </c>
      <c r="AU35" s="11">
        <f t="shared" si="58"/>
        <v>0.26470266313002538</v>
      </c>
      <c r="AW35" s="1">
        <v>42</v>
      </c>
      <c r="AX35" s="12">
        <v>360</v>
      </c>
      <c r="AZ35" s="11">
        <f t="shared" si="59"/>
        <v>0.64615384615384619</v>
      </c>
      <c r="BA35" s="11">
        <f t="shared" si="60"/>
        <v>0.64615384615384619</v>
      </c>
      <c r="BB35" s="11">
        <f t="shared" si="61"/>
        <v>1.0920245398773005</v>
      </c>
      <c r="BC35" s="11">
        <f t="shared" si="62"/>
        <v>1</v>
      </c>
      <c r="BD35" s="11">
        <f t="shared" si="63"/>
        <v>0</v>
      </c>
      <c r="BF35" s="11">
        <f t="shared" si="64"/>
        <v>0.18269792332332754</v>
      </c>
      <c r="BG35" s="11">
        <f t="shared" si="65"/>
        <v>0.25057540976220716</v>
      </c>
      <c r="BI35" s="11">
        <v>0.25057540976220716</v>
      </c>
      <c r="BJ35" s="11">
        <v>0.89500005787970727</v>
      </c>
      <c r="BK35" s="11">
        <v>8.9012723455917014E-2</v>
      </c>
      <c r="BM35" s="11">
        <f t="shared" si="34"/>
        <v>0.25847093436675567</v>
      </c>
      <c r="BN35" s="11">
        <f t="shared" si="31"/>
        <v>0.48401956120788064</v>
      </c>
      <c r="BP35" s="11">
        <f t="shared" si="32"/>
        <v>0.41549831077235916</v>
      </c>
      <c r="BQ35" s="11">
        <f t="shared" si="33"/>
        <v>0.76920301967573945</v>
      </c>
    </row>
    <row r="36" spans="1:69" x14ac:dyDescent="0.35">
      <c r="A36" t="s">
        <v>89</v>
      </c>
      <c r="B36" t="s">
        <v>90</v>
      </c>
      <c r="C36">
        <v>25</v>
      </c>
      <c r="D36" t="s">
        <v>53</v>
      </c>
      <c r="E36" t="s">
        <v>92</v>
      </c>
      <c r="F36">
        <v>0.7</v>
      </c>
      <c r="G36">
        <v>0.38</v>
      </c>
      <c r="H36">
        <v>0.6</v>
      </c>
      <c r="I36">
        <f t="shared" si="36"/>
        <v>0.22799999999999998</v>
      </c>
      <c r="J36">
        <v>0.22</v>
      </c>
      <c r="K36">
        <v>0.2</v>
      </c>
      <c r="L36">
        <f t="shared" si="37"/>
        <v>4.4000000000000004E-2</v>
      </c>
      <c r="M36">
        <v>0.4</v>
      </c>
      <c r="N36" s="1">
        <f t="shared" si="38"/>
        <v>31.815103861051682</v>
      </c>
      <c r="O36" s="1">
        <f t="shared" si="39"/>
        <v>6.2961921991255183</v>
      </c>
      <c r="P36" s="1">
        <f t="shared" si="40"/>
        <v>19.055648030088602</v>
      </c>
      <c r="Q36">
        <v>25</v>
      </c>
      <c r="S36">
        <f t="shared" si="42"/>
        <v>0.7</v>
      </c>
      <c r="T36" s="1">
        <f t="shared" si="43"/>
        <v>0.53596164428754933</v>
      </c>
      <c r="U36" s="1">
        <f t="shared" si="44"/>
        <v>0.57579507664841478</v>
      </c>
      <c r="V36" s="1">
        <f t="shared" si="45"/>
        <v>1</v>
      </c>
      <c r="W36" s="1">
        <f t="shared" si="46"/>
        <v>0.57579507664841478</v>
      </c>
      <c r="X36" s="1">
        <f t="shared" si="47"/>
        <v>0.64377399620921449</v>
      </c>
      <c r="Y36">
        <v>0.96499999999999997</v>
      </c>
      <c r="Z36" s="1">
        <f t="shared" si="48"/>
        <v>16.846376253405058</v>
      </c>
      <c r="AA36" s="1">
        <f t="shared" si="49"/>
        <v>0.30192805808811252</v>
      </c>
      <c r="AB36" s="1">
        <f t="shared" si="50"/>
        <v>0.48969882403190013</v>
      </c>
      <c r="AD36" s="1">
        <v>25</v>
      </c>
      <c r="AE36" s="1">
        <v>0.12</v>
      </c>
      <c r="AF36" s="1">
        <f t="shared" si="41"/>
        <v>3</v>
      </c>
      <c r="AG36" s="1">
        <f t="shared" si="30"/>
        <v>5.8823529411764705E-2</v>
      </c>
      <c r="AH36" s="1">
        <v>1</v>
      </c>
      <c r="AI36" s="1">
        <v>0.25</v>
      </c>
      <c r="AJ36" s="1">
        <v>3</v>
      </c>
      <c r="AK36" s="1"/>
      <c r="AL36" s="1"/>
      <c r="AN36" s="1">
        <f t="shared" si="51"/>
        <v>0.12</v>
      </c>
      <c r="AO36" s="1">
        <f t="shared" si="52"/>
        <v>0.40606640997992849</v>
      </c>
      <c r="AP36" s="1">
        <f t="shared" si="53"/>
        <v>0.40606640997992849</v>
      </c>
      <c r="AQ36" s="1">
        <f t="shared" si="54"/>
        <v>1</v>
      </c>
      <c r="AR36" s="1">
        <f t="shared" si="55"/>
        <v>0.8</v>
      </c>
      <c r="AS36" s="1">
        <f t="shared" si="56"/>
        <v>0.86498483123006098</v>
      </c>
      <c r="AT36" s="1">
        <f t="shared" si="57"/>
        <v>0.52910402448356797</v>
      </c>
      <c r="AU36" s="11">
        <f t="shared" si="58"/>
        <v>0.25910161858014891</v>
      </c>
      <c r="AW36" s="1">
        <v>42</v>
      </c>
      <c r="AX36" s="12">
        <v>360</v>
      </c>
      <c r="AZ36" s="11">
        <f t="shared" si="59"/>
        <v>0.64615384615384619</v>
      </c>
      <c r="BA36" s="11">
        <f t="shared" si="60"/>
        <v>0.64615384615384619</v>
      </c>
      <c r="BB36" s="11">
        <f t="shared" si="61"/>
        <v>1.0920245398773005</v>
      </c>
      <c r="BC36" s="11">
        <f t="shared" si="62"/>
        <v>1</v>
      </c>
      <c r="BD36" s="11">
        <f t="shared" si="63"/>
        <v>0</v>
      </c>
      <c r="BF36" s="11">
        <f t="shared" si="64"/>
        <v>0.17883207930195019</v>
      </c>
      <c r="BG36" s="11">
        <f t="shared" si="65"/>
        <v>0.24527329448846596</v>
      </c>
      <c r="BI36" s="11">
        <v>0.24527329448846596</v>
      </c>
      <c r="BJ36" s="11">
        <v>0.89500005787970727</v>
      </c>
      <c r="BK36" s="11">
        <v>8.9012723455917014E-2</v>
      </c>
      <c r="BM36" s="11">
        <f t="shared" si="34"/>
        <v>0.255554770966198</v>
      </c>
      <c r="BN36" s="11">
        <f t="shared" si="31"/>
        <v>0.48295913815313246</v>
      </c>
      <c r="BP36" s="11">
        <f t="shared" si="32"/>
        <v>0.41081050721008855</v>
      </c>
      <c r="BQ36" s="11">
        <f t="shared" si="33"/>
        <v>0.76751779725660718</v>
      </c>
    </row>
    <row r="37" spans="1:69" x14ac:dyDescent="0.35">
      <c r="A37" t="s">
        <v>89</v>
      </c>
      <c r="B37" t="s">
        <v>90</v>
      </c>
      <c r="C37">
        <v>20</v>
      </c>
      <c r="D37" t="s">
        <v>53</v>
      </c>
      <c r="E37" t="s">
        <v>55</v>
      </c>
      <c r="F37">
        <v>0.7</v>
      </c>
      <c r="G37">
        <v>0.38</v>
      </c>
      <c r="H37">
        <v>0.6</v>
      </c>
      <c r="I37">
        <f t="shared" si="36"/>
        <v>0.22799999999999998</v>
      </c>
      <c r="J37">
        <v>0.22</v>
      </c>
      <c r="K37">
        <v>0.2</v>
      </c>
      <c r="L37">
        <f t="shared" si="37"/>
        <v>4.4000000000000004E-2</v>
      </c>
      <c r="M37">
        <v>0.4</v>
      </c>
      <c r="N37" s="1">
        <f t="shared" si="38"/>
        <v>31.815103861051682</v>
      </c>
      <c r="O37" s="1">
        <f t="shared" si="39"/>
        <v>6.2961921991255183</v>
      </c>
      <c r="P37" s="1">
        <f t="shared" si="40"/>
        <v>19.055648030088602</v>
      </c>
      <c r="Q37">
        <v>20</v>
      </c>
      <c r="S37">
        <f t="shared" si="42"/>
        <v>0.7</v>
      </c>
      <c r="T37" s="1">
        <f t="shared" si="43"/>
        <v>0.53596164428754933</v>
      </c>
      <c r="U37" s="1">
        <f t="shared" si="44"/>
        <v>0.57579507664841478</v>
      </c>
      <c r="V37" s="1">
        <f t="shared" si="45"/>
        <v>1</v>
      </c>
      <c r="W37" s="1">
        <f t="shared" si="46"/>
        <v>0.57579507664841478</v>
      </c>
      <c r="X37" s="1">
        <f t="shared" si="47"/>
        <v>0.64377399620921449</v>
      </c>
      <c r="Y37">
        <v>0.96</v>
      </c>
      <c r="Z37" s="1">
        <f t="shared" si="48"/>
        <v>13.949939153014794</v>
      </c>
      <c r="AA37" s="1">
        <f t="shared" si="49"/>
        <v>0.25001685677451041</v>
      </c>
      <c r="AB37" s="1">
        <f t="shared" si="50"/>
        <v>0.45410406329279357</v>
      </c>
      <c r="AD37" s="1">
        <v>30</v>
      </c>
      <c r="AE37" s="1">
        <v>0.1</v>
      </c>
      <c r="AF37" s="1">
        <f t="shared" si="41"/>
        <v>3</v>
      </c>
      <c r="AG37" s="1">
        <f t="shared" si="30"/>
        <v>5.8823529411764705E-2</v>
      </c>
      <c r="AH37" s="1">
        <v>1</v>
      </c>
      <c r="AI37" s="1">
        <v>0.25</v>
      </c>
      <c r="AJ37" s="1">
        <v>3</v>
      </c>
      <c r="AK37" s="1"/>
      <c r="AL37" s="1"/>
      <c r="AN37" s="1">
        <f t="shared" si="51"/>
        <v>0.15</v>
      </c>
      <c r="AO37" s="1">
        <f t="shared" si="52"/>
        <v>0.44969552882373132</v>
      </c>
      <c r="AP37" s="1">
        <f t="shared" si="53"/>
        <v>0.44969552882373132</v>
      </c>
      <c r="AQ37" s="1">
        <f t="shared" si="54"/>
        <v>1</v>
      </c>
      <c r="AR37" s="1">
        <f t="shared" si="55"/>
        <v>0.8</v>
      </c>
      <c r="AS37" s="1">
        <f t="shared" si="56"/>
        <v>0.86498483123006098</v>
      </c>
      <c r="AT37" s="1">
        <f t="shared" si="57"/>
        <v>0.56539249872332009</v>
      </c>
      <c r="AU37" s="11">
        <f t="shared" si="58"/>
        <v>0.25674703102552526</v>
      </c>
      <c r="AW37" s="1">
        <v>42</v>
      </c>
      <c r="AX37" s="12">
        <v>360</v>
      </c>
      <c r="AZ37" s="11">
        <f t="shared" si="59"/>
        <v>0.64615384615384619</v>
      </c>
      <c r="BA37" s="11">
        <f t="shared" si="60"/>
        <v>0.64615384615384619</v>
      </c>
      <c r="BB37" s="11">
        <f t="shared" si="61"/>
        <v>1.0920245398773005</v>
      </c>
      <c r="BC37" s="11">
        <f t="shared" si="62"/>
        <v>1</v>
      </c>
      <c r="BD37" s="11">
        <f t="shared" si="63"/>
        <v>0</v>
      </c>
      <c r="BF37" s="11">
        <f t="shared" si="64"/>
        <v>0.17720694167988787</v>
      </c>
      <c r="BG37" s="11">
        <f t="shared" si="65"/>
        <v>0.24304437191419251</v>
      </c>
      <c r="BI37" s="11">
        <v>0.24304437191419251</v>
      </c>
      <c r="BJ37" s="11">
        <v>0.89500005787970727</v>
      </c>
      <c r="BK37" s="11">
        <v>8.9012723455917014E-2</v>
      </c>
      <c r="BM37" s="11">
        <f t="shared" si="34"/>
        <v>0.25432886355034756</v>
      </c>
      <c r="BN37" s="11">
        <f t="shared" si="31"/>
        <v>0.48251335363827774</v>
      </c>
      <c r="BP37" s="11">
        <f t="shared" si="32"/>
        <v>0.4088398312356426</v>
      </c>
      <c r="BQ37" s="11">
        <f t="shared" si="33"/>
        <v>0.76680935730410771</v>
      </c>
    </row>
    <row r="38" spans="1:69" x14ac:dyDescent="0.35">
      <c r="A38" t="s">
        <v>89</v>
      </c>
      <c r="B38" t="s">
        <v>90</v>
      </c>
      <c r="C38">
        <v>15</v>
      </c>
      <c r="D38" t="s">
        <v>53</v>
      </c>
      <c r="E38" t="s">
        <v>93</v>
      </c>
      <c r="F38">
        <v>0.7</v>
      </c>
      <c r="G38">
        <v>0.38</v>
      </c>
      <c r="H38">
        <v>0.6</v>
      </c>
      <c r="I38">
        <f t="shared" si="36"/>
        <v>0.22799999999999998</v>
      </c>
      <c r="J38">
        <v>0.22</v>
      </c>
      <c r="K38">
        <v>0.2</v>
      </c>
      <c r="L38">
        <f t="shared" si="37"/>
        <v>4.4000000000000004E-2</v>
      </c>
      <c r="M38">
        <v>0.4</v>
      </c>
      <c r="N38" s="1">
        <f t="shared" si="38"/>
        <v>31.815103861051682</v>
      </c>
      <c r="O38" s="1">
        <f t="shared" si="39"/>
        <v>6.2961921991255183</v>
      </c>
      <c r="P38" s="1">
        <f t="shared" si="40"/>
        <v>19.055648030088602</v>
      </c>
      <c r="Q38">
        <v>15</v>
      </c>
      <c r="S38">
        <f t="shared" si="42"/>
        <v>0.7</v>
      </c>
      <c r="T38" s="1">
        <f t="shared" si="43"/>
        <v>0.53596164428754933</v>
      </c>
      <c r="U38" s="1">
        <f t="shared" si="44"/>
        <v>0.57579507664841478</v>
      </c>
      <c r="V38" s="1">
        <f t="shared" si="45"/>
        <v>1</v>
      </c>
      <c r="W38" s="1">
        <f t="shared" si="46"/>
        <v>0.57579507664841478</v>
      </c>
      <c r="X38" s="1">
        <f t="shared" si="47"/>
        <v>0.64377399620921449</v>
      </c>
      <c r="Y38">
        <v>0.95</v>
      </c>
      <c r="Z38" s="1">
        <f t="shared" si="48"/>
        <v>10.734175396804924</v>
      </c>
      <c r="AA38" s="1">
        <f t="shared" si="49"/>
        <v>0.19238254470776356</v>
      </c>
      <c r="AB38" s="1">
        <f t="shared" si="50"/>
        <v>0.40891584341921411</v>
      </c>
      <c r="AD38" s="1">
        <v>15</v>
      </c>
      <c r="AE38" s="1">
        <v>0.16</v>
      </c>
      <c r="AF38" s="1">
        <f t="shared" si="41"/>
        <v>2.4</v>
      </c>
      <c r="AG38" s="1">
        <f t="shared" si="30"/>
        <v>4.7058823529411764E-2</v>
      </c>
      <c r="AH38" s="1">
        <v>1</v>
      </c>
      <c r="AI38" s="1">
        <v>0.25</v>
      </c>
      <c r="AJ38" s="1">
        <v>3</v>
      </c>
      <c r="AK38" s="1"/>
      <c r="AL38" s="1"/>
      <c r="AN38" s="1">
        <f t="shared" si="51"/>
        <v>0.16</v>
      </c>
      <c r="AO38" s="1">
        <f t="shared" si="52"/>
        <v>0.4376998837979994</v>
      </c>
      <c r="AP38" s="1">
        <f t="shared" si="53"/>
        <v>0.4376998837979994</v>
      </c>
      <c r="AQ38" s="1">
        <f t="shared" si="54"/>
        <v>1</v>
      </c>
      <c r="AR38" s="1">
        <f t="shared" si="55"/>
        <v>0.8</v>
      </c>
      <c r="AS38" s="1">
        <f t="shared" si="56"/>
        <v>0.86498483123006098</v>
      </c>
      <c r="AT38" s="1">
        <f t="shared" si="57"/>
        <v>0.55554296503355494</v>
      </c>
      <c r="AU38" s="11">
        <f t="shared" si="58"/>
        <v>0.22717032010230709</v>
      </c>
      <c r="AW38" s="1">
        <v>42</v>
      </c>
      <c r="AX38" s="12">
        <v>360</v>
      </c>
      <c r="AZ38" s="11">
        <f t="shared" si="59"/>
        <v>0.64615384615384619</v>
      </c>
      <c r="BA38" s="11">
        <f t="shared" si="60"/>
        <v>0.64615384615384619</v>
      </c>
      <c r="BB38" s="11">
        <f t="shared" si="61"/>
        <v>1.0920245398773005</v>
      </c>
      <c r="BC38" s="11">
        <f t="shared" si="62"/>
        <v>1</v>
      </c>
      <c r="BD38" s="11">
        <f t="shared" si="63"/>
        <v>0</v>
      </c>
      <c r="BF38" s="11">
        <f t="shared" si="64"/>
        <v>0.15679307957321154</v>
      </c>
      <c r="BG38" s="11">
        <f t="shared" si="65"/>
        <v>0.21504617812434287</v>
      </c>
      <c r="BI38" s="11">
        <v>0.21504617812434287</v>
      </c>
      <c r="BJ38" s="11">
        <v>0.89500005787970727</v>
      </c>
      <c r="BK38" s="11">
        <v>8.9012723455917014E-2</v>
      </c>
      <c r="BM38" s="11">
        <f t="shared" si="34"/>
        <v>0.23892985696593028</v>
      </c>
      <c r="BN38" s="11">
        <f t="shared" si="31"/>
        <v>0.47691371488030782</v>
      </c>
      <c r="BP38" s="11">
        <f t="shared" si="32"/>
        <v>0.38408555378052633</v>
      </c>
      <c r="BQ38" s="11">
        <f t="shared" si="33"/>
        <v>0.75791042142024601</v>
      </c>
    </row>
    <row r="39" spans="1:69" x14ac:dyDescent="0.35">
      <c r="A39" t="s">
        <v>89</v>
      </c>
      <c r="B39" t="s">
        <v>90</v>
      </c>
      <c r="C39">
        <v>10</v>
      </c>
      <c r="D39" t="s">
        <v>53</v>
      </c>
      <c r="E39" t="s">
        <v>94</v>
      </c>
      <c r="F39">
        <v>0.7</v>
      </c>
      <c r="G39">
        <v>0.38</v>
      </c>
      <c r="H39">
        <v>0.6</v>
      </c>
      <c r="I39">
        <f t="shared" si="36"/>
        <v>0.22799999999999998</v>
      </c>
      <c r="J39">
        <v>0.22</v>
      </c>
      <c r="K39">
        <v>0.2</v>
      </c>
      <c r="L39">
        <f t="shared" si="37"/>
        <v>4.4000000000000004E-2</v>
      </c>
      <c r="M39">
        <v>0.4</v>
      </c>
      <c r="N39" s="1">
        <f t="shared" si="38"/>
        <v>31.815103861051682</v>
      </c>
      <c r="O39" s="1">
        <f t="shared" si="39"/>
        <v>6.2961921991255183</v>
      </c>
      <c r="P39" s="1">
        <f t="shared" si="40"/>
        <v>19.055648030088602</v>
      </c>
      <c r="Q39">
        <v>10</v>
      </c>
      <c r="S39">
        <f t="shared" si="42"/>
        <v>0.7</v>
      </c>
      <c r="T39" s="1">
        <f t="shared" si="43"/>
        <v>0.53596164428754933</v>
      </c>
      <c r="U39" s="1">
        <f t="shared" si="44"/>
        <v>0.57579507664841478</v>
      </c>
      <c r="V39" s="1">
        <f t="shared" si="45"/>
        <v>1</v>
      </c>
      <c r="W39" s="1">
        <f t="shared" si="46"/>
        <v>0.57579507664841478</v>
      </c>
      <c r="X39" s="1">
        <f t="shared" si="47"/>
        <v>0.64377399620921449</v>
      </c>
      <c r="Y39">
        <v>0.9</v>
      </c>
      <c r="Z39" s="1">
        <f t="shared" si="48"/>
        <v>6.5132155989999996</v>
      </c>
      <c r="AA39" s="1">
        <f t="shared" si="49"/>
        <v>0.11673267343282748</v>
      </c>
      <c r="AB39" s="1">
        <f t="shared" si="50"/>
        <v>0.33484563689586194</v>
      </c>
      <c r="AD39" s="1">
        <v>10</v>
      </c>
      <c r="AE39" s="1">
        <v>0.17</v>
      </c>
      <c r="AF39" s="1">
        <f t="shared" si="41"/>
        <v>1.7000000000000002</v>
      </c>
      <c r="AG39" s="1">
        <f t="shared" si="30"/>
        <v>3.333333333333334E-2</v>
      </c>
      <c r="AH39" s="1">
        <v>1</v>
      </c>
      <c r="AI39" s="1">
        <v>0.25</v>
      </c>
      <c r="AJ39" s="1">
        <v>3</v>
      </c>
      <c r="AK39" s="1"/>
      <c r="AL39" s="1"/>
      <c r="AN39" s="1">
        <f t="shared" si="51"/>
        <v>0.17</v>
      </c>
      <c r="AO39" s="1">
        <f t="shared" si="52"/>
        <v>0.42676198379817987</v>
      </c>
      <c r="AP39" s="1">
        <f t="shared" si="53"/>
        <v>0.42676198379817987</v>
      </c>
      <c r="AQ39" s="1">
        <f t="shared" si="54"/>
        <v>1</v>
      </c>
      <c r="AR39" s="1">
        <f t="shared" si="55"/>
        <v>0.8</v>
      </c>
      <c r="AS39" s="1">
        <f t="shared" si="56"/>
        <v>0.86498483123006098</v>
      </c>
      <c r="AT39" s="1">
        <f t="shared" si="57"/>
        <v>0.546479271614151</v>
      </c>
      <c r="AU39" s="11">
        <f t="shared" si="58"/>
        <v>0.18298619975402711</v>
      </c>
      <c r="AW39" s="1">
        <v>42</v>
      </c>
      <c r="AX39" s="12">
        <v>360</v>
      </c>
      <c r="AZ39" s="11">
        <f t="shared" si="59"/>
        <v>0.64615384615384619</v>
      </c>
      <c r="BA39" s="11">
        <f t="shared" si="60"/>
        <v>0.64615384615384619</v>
      </c>
      <c r="BB39" s="11">
        <f t="shared" si="61"/>
        <v>1.0920245398773005</v>
      </c>
      <c r="BC39" s="11">
        <f t="shared" si="62"/>
        <v>1</v>
      </c>
      <c r="BD39" s="11">
        <f t="shared" si="63"/>
        <v>0</v>
      </c>
      <c r="BF39" s="11">
        <f t="shared" si="64"/>
        <v>0.12629717546689928</v>
      </c>
      <c r="BG39" s="11">
        <f t="shared" si="65"/>
        <v>0.17322017633676551</v>
      </c>
      <c r="BI39" s="11">
        <v>0.17322017633676551</v>
      </c>
      <c r="BJ39" s="11">
        <v>0.89500005787970727</v>
      </c>
      <c r="BK39" s="11">
        <v>8.9012723455917014E-2</v>
      </c>
      <c r="BM39" s="11">
        <f t="shared" si="34"/>
        <v>0.21592555598276272</v>
      </c>
      <c r="BN39" s="11">
        <f t="shared" si="31"/>
        <v>0.46854851452279234</v>
      </c>
      <c r="BP39" s="11">
        <f t="shared" si="32"/>
        <v>0.34710558068443181</v>
      </c>
      <c r="BQ39" s="11">
        <f t="shared" si="33"/>
        <v>0.74461645999617476</v>
      </c>
    </row>
    <row r="40" spans="1:69" x14ac:dyDescent="0.35">
      <c r="A40" t="s">
        <v>89</v>
      </c>
      <c r="B40" t="s">
        <v>95</v>
      </c>
      <c r="D40" t="s">
        <v>52</v>
      </c>
      <c r="E40" t="s">
        <v>52</v>
      </c>
      <c r="F40">
        <v>0.5</v>
      </c>
      <c r="G40">
        <v>0.38</v>
      </c>
      <c r="H40">
        <v>0.8</v>
      </c>
      <c r="I40">
        <f t="shared" si="36"/>
        <v>0.30400000000000005</v>
      </c>
      <c r="J40">
        <v>0.22</v>
      </c>
      <c r="K40">
        <v>0.15</v>
      </c>
      <c r="L40">
        <f t="shared" si="37"/>
        <v>3.3000000000000002E-2</v>
      </c>
      <c r="M40">
        <v>0.4</v>
      </c>
      <c r="N40" s="1">
        <f t="shared" si="38"/>
        <v>41.613582025422467</v>
      </c>
      <c r="O40" s="1">
        <f t="shared" si="39"/>
        <v>4.7242235040605474</v>
      </c>
      <c r="P40" s="1">
        <f t="shared" si="40"/>
        <v>23.168902764741507</v>
      </c>
      <c r="Q40">
        <v>3</v>
      </c>
      <c r="S40">
        <f t="shared" si="42"/>
        <v>0.5</v>
      </c>
      <c r="T40" s="1">
        <f t="shared" si="43"/>
        <v>0.6516515839567314</v>
      </c>
      <c r="U40" s="1">
        <f t="shared" si="44"/>
        <v>0.64747810111207027</v>
      </c>
      <c r="V40" s="1">
        <f t="shared" si="45"/>
        <v>1</v>
      </c>
      <c r="W40" s="1">
        <f t="shared" si="46"/>
        <v>0.64747810111207027</v>
      </c>
      <c r="X40" s="1">
        <f t="shared" si="47"/>
        <v>0.72391998736277996</v>
      </c>
      <c r="Y40">
        <v>0.8</v>
      </c>
      <c r="Z40" s="1">
        <f t="shared" si="48"/>
        <v>2.44</v>
      </c>
      <c r="AA40" s="1">
        <f t="shared" si="49"/>
        <v>4.3730737735724542E-2</v>
      </c>
      <c r="AB40" s="1">
        <f t="shared" si="50"/>
        <v>0.20695544872578339</v>
      </c>
      <c r="AD40" s="1"/>
      <c r="AE40" s="1"/>
      <c r="AF40" s="10">
        <v>1.72</v>
      </c>
      <c r="AG40" s="1">
        <f t="shared" si="30"/>
        <v>3.3725490196078428E-2</v>
      </c>
      <c r="AH40" s="1">
        <v>1</v>
      </c>
      <c r="AI40" s="1">
        <v>0.25</v>
      </c>
      <c r="AJ40" s="1">
        <v>3</v>
      </c>
      <c r="AK40" s="1"/>
      <c r="AL40" s="1"/>
      <c r="AN40" s="1">
        <f t="shared" si="51"/>
        <v>0.57333333333333336</v>
      </c>
      <c r="AO40" s="1">
        <f t="shared" si="52"/>
        <v>0.73290444124410159</v>
      </c>
      <c r="AP40" s="1">
        <f t="shared" si="53"/>
        <v>0.73290444124410159</v>
      </c>
      <c r="AQ40" s="1">
        <f t="shared" si="54"/>
        <v>1</v>
      </c>
      <c r="AR40" s="1">
        <f t="shared" si="55"/>
        <v>0.8</v>
      </c>
      <c r="AS40" s="1">
        <f t="shared" si="56"/>
        <v>0.86498483123006098</v>
      </c>
      <c r="AT40" s="1">
        <f t="shared" si="57"/>
        <v>0.77666503116889607</v>
      </c>
      <c r="AU40" s="11">
        <f t="shared" si="58"/>
        <v>0.16073506003518342</v>
      </c>
      <c r="AW40" s="1">
        <v>42</v>
      </c>
      <c r="AX40" s="12">
        <v>360</v>
      </c>
      <c r="AZ40" s="11">
        <f t="shared" si="59"/>
        <v>0.64615384615384619</v>
      </c>
      <c r="BA40" s="11">
        <f t="shared" si="60"/>
        <v>0.64615384615384619</v>
      </c>
      <c r="BB40" s="11">
        <f t="shared" si="61"/>
        <v>1.0920245398773005</v>
      </c>
      <c r="BC40" s="11">
        <f t="shared" si="62"/>
        <v>1</v>
      </c>
      <c r="BD40" s="11">
        <f t="shared" si="63"/>
        <v>0</v>
      </c>
      <c r="BF40" s="11">
        <f t="shared" si="64"/>
        <v>0.11093942662470854</v>
      </c>
      <c r="BG40" s="11">
        <f t="shared" si="65"/>
        <v>0.15215658601698631</v>
      </c>
      <c r="BI40" s="11">
        <v>0.15215658601698631</v>
      </c>
      <c r="BJ40" s="11">
        <v>0.89500005787970727</v>
      </c>
      <c r="BK40" s="11">
        <v>0.13351908518387554</v>
      </c>
      <c r="BM40" s="11">
        <f t="shared" si="34"/>
        <v>0.21991780791166965</v>
      </c>
      <c r="BN40" s="11">
        <f t="shared" si="31"/>
        <v>0.47991302306362199</v>
      </c>
      <c r="BP40" s="11">
        <f t="shared" ref="BP40:BP103" si="66">BM40/$BM$131</f>
        <v>0.35352322271719056</v>
      </c>
      <c r="BQ40" s="11">
        <f t="shared" ref="BQ40:BQ103" si="67">BN40/$BN$131</f>
        <v>0.76267691661268433</v>
      </c>
    </row>
    <row r="41" spans="1:69" x14ac:dyDescent="0.35">
      <c r="A41" t="s">
        <v>89</v>
      </c>
      <c r="B41" t="s">
        <v>96</v>
      </c>
      <c r="D41" t="s">
        <v>52</v>
      </c>
      <c r="E41" t="s">
        <v>52</v>
      </c>
      <c r="F41">
        <v>0.5</v>
      </c>
      <c r="G41">
        <v>0.38</v>
      </c>
      <c r="H41">
        <v>0.3</v>
      </c>
      <c r="I41">
        <f t="shared" si="36"/>
        <v>0.11399999999999999</v>
      </c>
      <c r="J41">
        <v>0.22</v>
      </c>
      <c r="K41">
        <v>0.2</v>
      </c>
      <c r="L41">
        <f t="shared" si="37"/>
        <v>4.4000000000000004E-2</v>
      </c>
      <c r="M41">
        <v>0.4</v>
      </c>
      <c r="N41" s="1">
        <f t="shared" si="38"/>
        <v>16.220095658838193</v>
      </c>
      <c r="O41" s="1">
        <f t="shared" si="39"/>
        <v>6.2961921991255183</v>
      </c>
      <c r="P41" s="1">
        <f t="shared" si="40"/>
        <v>11.258143928981855</v>
      </c>
      <c r="Q41">
        <v>3</v>
      </c>
      <c r="S41">
        <f t="shared" si="42"/>
        <v>0.5</v>
      </c>
      <c r="T41" s="1">
        <f t="shared" si="43"/>
        <v>0.31664802594356856</v>
      </c>
      <c r="U41" s="1">
        <f t="shared" si="44"/>
        <v>0.39748145946834723</v>
      </c>
      <c r="V41" s="1">
        <f t="shared" si="45"/>
        <v>1</v>
      </c>
      <c r="W41" s="1">
        <f t="shared" si="46"/>
        <v>0.39748145946834723</v>
      </c>
      <c r="X41" s="1">
        <f t="shared" si="47"/>
        <v>0.44440850218880262</v>
      </c>
      <c r="Y41">
        <v>0.8</v>
      </c>
      <c r="Z41" s="1">
        <f t="shared" si="48"/>
        <v>2.44</v>
      </c>
      <c r="AA41" s="1">
        <f t="shared" si="49"/>
        <v>4.3730737735724542E-2</v>
      </c>
      <c r="AB41" s="1">
        <f t="shared" si="50"/>
        <v>0.18318917755489958</v>
      </c>
      <c r="AD41" s="1"/>
      <c r="AE41" s="1"/>
      <c r="AF41" s="10">
        <v>0.54</v>
      </c>
      <c r="AG41" s="1">
        <f t="shared" si="30"/>
        <v>1.0588235294117648E-2</v>
      </c>
      <c r="AH41" s="1">
        <v>1</v>
      </c>
      <c r="AI41" s="1">
        <v>0.25</v>
      </c>
      <c r="AJ41" s="1">
        <v>5</v>
      </c>
      <c r="AK41" s="1"/>
      <c r="AL41" s="1"/>
      <c r="AN41" s="1">
        <f t="shared" si="51"/>
        <v>0.18000000000000002</v>
      </c>
      <c r="AO41" s="1">
        <f t="shared" si="52"/>
        <v>0.33930655199240412</v>
      </c>
      <c r="AP41" s="1">
        <f t="shared" si="53"/>
        <v>0.33930655199240412</v>
      </c>
      <c r="AQ41" s="1">
        <f t="shared" si="54"/>
        <v>1</v>
      </c>
      <c r="AR41" s="1">
        <f t="shared" si="55"/>
        <v>0.75</v>
      </c>
      <c r="AS41" s="1">
        <f t="shared" si="56"/>
        <v>0.82944925461525454</v>
      </c>
      <c r="AT41" s="1">
        <f t="shared" si="57"/>
        <v>0.4639395503926525</v>
      </c>
      <c r="AU41" s="11">
        <f t="shared" si="58"/>
        <v>8.4988704671619897E-2</v>
      </c>
      <c r="AW41" s="1">
        <v>42</v>
      </c>
      <c r="AX41" s="12">
        <v>360</v>
      </c>
      <c r="AZ41" s="11">
        <f t="shared" si="59"/>
        <v>0.64615384615384619</v>
      </c>
      <c r="BA41" s="11">
        <f t="shared" si="60"/>
        <v>0.64615384615384619</v>
      </c>
      <c r="BB41" s="11">
        <f t="shared" si="61"/>
        <v>1.0920245398773005</v>
      </c>
      <c r="BC41" s="11">
        <f t="shared" si="62"/>
        <v>1</v>
      </c>
      <c r="BD41" s="11">
        <f t="shared" si="63"/>
        <v>0</v>
      </c>
      <c r="BF41" s="11">
        <f t="shared" si="64"/>
        <v>5.8659250594004606E-2</v>
      </c>
      <c r="BG41" s="11">
        <f t="shared" si="65"/>
        <v>8.0452834310131047E-2</v>
      </c>
      <c r="BI41" s="11">
        <v>8.0452834310131047E-2</v>
      </c>
      <c r="BJ41" s="11">
        <v>0.89500005787970727</v>
      </c>
      <c r="BK41" s="11">
        <v>0.13351908518387554</v>
      </c>
      <c r="BM41" s="11">
        <f t="shared" si="34"/>
        <v>0.18048074447289925</v>
      </c>
      <c r="BN41" s="11">
        <f t="shared" si="31"/>
        <v>0.46557227272225093</v>
      </c>
      <c r="BP41" s="11">
        <f t="shared" si="66"/>
        <v>0.29012718447104635</v>
      </c>
      <c r="BQ41" s="11">
        <f t="shared" si="67"/>
        <v>0.73988662185792153</v>
      </c>
    </row>
    <row r="42" spans="1:69" x14ac:dyDescent="0.35">
      <c r="A42" t="s">
        <v>97</v>
      </c>
      <c r="B42" t="s">
        <v>98</v>
      </c>
      <c r="D42" t="s">
        <v>52</v>
      </c>
      <c r="E42" t="s">
        <v>52</v>
      </c>
      <c r="F42">
        <v>0.5</v>
      </c>
      <c r="G42">
        <v>6</v>
      </c>
      <c r="H42">
        <v>1</v>
      </c>
      <c r="I42">
        <f t="shared" si="36"/>
        <v>6</v>
      </c>
      <c r="J42">
        <v>3</v>
      </c>
      <c r="K42">
        <v>1</v>
      </c>
      <c r="L42">
        <f t="shared" si="37"/>
        <v>3</v>
      </c>
      <c r="M42">
        <v>40</v>
      </c>
      <c r="N42" s="1">
        <f t="shared" si="38"/>
        <v>8.578306657638036</v>
      </c>
      <c r="O42" s="1">
        <f t="shared" si="39"/>
        <v>4.2951708565970064</v>
      </c>
      <c r="P42" s="1">
        <f t="shared" si="40"/>
        <v>6.4367387571175207</v>
      </c>
      <c r="Q42">
        <v>1.5</v>
      </c>
      <c r="S42">
        <f t="shared" si="42"/>
        <v>0.5</v>
      </c>
      <c r="T42" s="1">
        <f t="shared" si="43"/>
        <v>0.18104055462542371</v>
      </c>
      <c r="U42" s="1">
        <f t="shared" si="44"/>
        <v>0.25148563781584776</v>
      </c>
      <c r="V42" s="1">
        <f t="shared" si="45"/>
        <v>1</v>
      </c>
      <c r="W42" s="1">
        <f t="shared" si="46"/>
        <v>0.25148563781584776</v>
      </c>
      <c r="X42" s="1">
        <f t="shared" si="47"/>
        <v>0.28117627366374459</v>
      </c>
      <c r="Y42">
        <v>0.75</v>
      </c>
      <c r="Z42" s="1">
        <f t="shared" si="48"/>
        <v>1.401923788646684</v>
      </c>
      <c r="AA42" s="1">
        <f t="shared" si="49"/>
        <v>2.512588587163175E-2</v>
      </c>
      <c r="AB42" s="1">
        <f t="shared" si="50"/>
        <v>0.13089791301660211</v>
      </c>
      <c r="AD42" s="1">
        <v>1.1000000000000001</v>
      </c>
      <c r="AE42" s="1">
        <v>1</v>
      </c>
      <c r="AF42" s="1">
        <f t="shared" ref="AF42:AF83" si="68">AD42*AE42</f>
        <v>1.1000000000000001</v>
      </c>
      <c r="AG42" s="1">
        <f t="shared" si="30"/>
        <v>2.1568627450980395E-2</v>
      </c>
      <c r="AH42" s="1">
        <v>1</v>
      </c>
      <c r="AI42" s="1">
        <v>0.05</v>
      </c>
      <c r="AJ42" s="1">
        <v>6</v>
      </c>
      <c r="AK42" s="1"/>
      <c r="AL42" s="1"/>
      <c r="AN42" s="1">
        <f t="shared" si="51"/>
        <v>0.73333333333333339</v>
      </c>
      <c r="AO42" s="1">
        <f t="shared" si="52"/>
        <v>0.81521502025777093</v>
      </c>
      <c r="AP42" s="1">
        <f t="shared" si="53"/>
        <v>0.81521502025777093</v>
      </c>
      <c r="AQ42" s="1">
        <f t="shared" si="54"/>
        <v>1</v>
      </c>
      <c r="AR42" s="1">
        <f t="shared" si="55"/>
        <v>0.73684210526315785</v>
      </c>
      <c r="AS42" s="1">
        <f t="shared" si="56"/>
        <v>0.81996135145359483</v>
      </c>
      <c r="AT42" s="1">
        <f t="shared" si="57"/>
        <v>0.81687310283473613</v>
      </c>
      <c r="AU42" s="11">
        <f t="shared" si="58"/>
        <v>0.10692698436046316</v>
      </c>
      <c r="AW42" s="1">
        <v>56</v>
      </c>
      <c r="AX42" s="12">
        <v>180</v>
      </c>
      <c r="AZ42" s="11">
        <f t="shared" si="59"/>
        <v>0.86153846153846159</v>
      </c>
      <c r="BA42" s="11">
        <f t="shared" si="60"/>
        <v>0.86153846153846159</v>
      </c>
      <c r="BB42" s="11">
        <f t="shared" si="61"/>
        <v>0.53987730061349692</v>
      </c>
      <c r="BC42" s="11">
        <f t="shared" si="62"/>
        <v>0.53987730061349692</v>
      </c>
      <c r="BD42" s="11">
        <f t="shared" si="63"/>
        <v>0.21851971340991272</v>
      </c>
      <c r="BF42" s="11">
        <f t="shared" si="64"/>
        <v>8.308606691676633E-2</v>
      </c>
      <c r="BG42" s="11">
        <f t="shared" si="65"/>
        <v>0.11395490919923662</v>
      </c>
      <c r="BI42" s="11">
        <v>0.11395490919923662</v>
      </c>
      <c r="BJ42" s="11">
        <v>0.10609767341747922</v>
      </c>
      <c r="BK42" s="11">
        <v>0.94895921650108228</v>
      </c>
      <c r="BM42" s="11">
        <f t="shared" si="34"/>
        <v>0.40542069317670681</v>
      </c>
      <c r="BN42" s="11">
        <f t="shared" si="31"/>
        <v>0.40267066065309176</v>
      </c>
      <c r="BP42" s="11">
        <f t="shared" si="66"/>
        <v>0.65172362060662992</v>
      </c>
      <c r="BQ42" s="11">
        <f t="shared" si="67"/>
        <v>0.63992349262957871</v>
      </c>
    </row>
    <row r="43" spans="1:69" x14ac:dyDescent="0.35">
      <c r="A43" t="s">
        <v>97</v>
      </c>
      <c r="B43" t="s">
        <v>99</v>
      </c>
      <c r="D43" t="s">
        <v>52</v>
      </c>
      <c r="E43" t="s">
        <v>52</v>
      </c>
      <c r="F43">
        <v>0.5</v>
      </c>
      <c r="G43">
        <v>6</v>
      </c>
      <c r="H43">
        <v>1</v>
      </c>
      <c r="I43">
        <f t="shared" si="36"/>
        <v>6</v>
      </c>
      <c r="J43">
        <v>3</v>
      </c>
      <c r="K43">
        <v>1</v>
      </c>
      <c r="L43">
        <f t="shared" si="37"/>
        <v>3</v>
      </c>
      <c r="M43">
        <v>40</v>
      </c>
      <c r="N43" s="1">
        <f t="shared" si="38"/>
        <v>8.578306657638036</v>
      </c>
      <c r="O43" s="1">
        <f t="shared" si="39"/>
        <v>4.2951708565970064</v>
      </c>
      <c r="P43" s="1">
        <f t="shared" si="40"/>
        <v>6.4367387571175207</v>
      </c>
      <c r="Q43">
        <v>1.8</v>
      </c>
      <c r="S43">
        <f t="shared" si="42"/>
        <v>0.5</v>
      </c>
      <c r="T43" s="1">
        <f t="shared" si="43"/>
        <v>0.18104055462542371</v>
      </c>
      <c r="U43" s="1">
        <f t="shared" si="44"/>
        <v>0.25148563781584776</v>
      </c>
      <c r="V43" s="1">
        <f t="shared" si="45"/>
        <v>1</v>
      </c>
      <c r="W43" s="1">
        <f t="shared" si="46"/>
        <v>0.25148563781584776</v>
      </c>
      <c r="X43" s="1">
        <f t="shared" si="47"/>
        <v>0.28117627366374459</v>
      </c>
      <c r="Y43">
        <v>0.75</v>
      </c>
      <c r="Z43" s="1">
        <f t="shared" si="48"/>
        <v>1.6167463576401722</v>
      </c>
      <c r="AA43" s="1">
        <f t="shared" si="49"/>
        <v>2.8976029078340283E-2</v>
      </c>
      <c r="AB43" s="1">
        <f t="shared" si="50"/>
        <v>0.13857973190131345</v>
      </c>
      <c r="AD43" s="1">
        <v>1.4</v>
      </c>
      <c r="AE43" s="1">
        <v>1</v>
      </c>
      <c r="AF43" s="1">
        <f t="shared" si="68"/>
        <v>1.4</v>
      </c>
      <c r="AG43" s="1">
        <f t="shared" si="30"/>
        <v>2.7450980392156862E-2</v>
      </c>
      <c r="AH43" s="1">
        <v>1</v>
      </c>
      <c r="AI43" s="1">
        <v>0.05</v>
      </c>
      <c r="AJ43" s="1">
        <v>6</v>
      </c>
      <c r="AK43" s="1"/>
      <c r="AL43" s="1"/>
      <c r="AN43" s="1">
        <f t="shared" si="51"/>
        <v>0.77777777777777768</v>
      </c>
      <c r="AO43" s="1">
        <f t="shared" si="52"/>
        <v>0.8331899462799941</v>
      </c>
      <c r="AP43" s="1">
        <f t="shared" si="53"/>
        <v>0.8331899462799941</v>
      </c>
      <c r="AQ43" s="1">
        <f t="shared" si="54"/>
        <v>1</v>
      </c>
      <c r="AR43" s="1">
        <f t="shared" si="55"/>
        <v>0.73684210526315785</v>
      </c>
      <c r="AS43" s="1">
        <f t="shared" si="56"/>
        <v>0.81996135145359483</v>
      </c>
      <c r="AT43" s="1">
        <f t="shared" si="57"/>
        <v>0.82853583621843652</v>
      </c>
      <c r="AU43" s="11">
        <f t="shared" si="58"/>
        <v>0.11481827405378149</v>
      </c>
      <c r="AW43" s="1">
        <v>56</v>
      </c>
      <c r="AX43" s="12">
        <v>180</v>
      </c>
      <c r="AZ43" s="11">
        <f t="shared" si="59"/>
        <v>0.86153846153846159</v>
      </c>
      <c r="BA43" s="11">
        <f t="shared" si="60"/>
        <v>0.86153846153846159</v>
      </c>
      <c r="BB43" s="11">
        <f t="shared" si="61"/>
        <v>0.53987730061349692</v>
      </c>
      <c r="BC43" s="11">
        <f t="shared" si="62"/>
        <v>0.53987730061349692</v>
      </c>
      <c r="BD43" s="11">
        <f t="shared" si="63"/>
        <v>0.21851971340991272</v>
      </c>
      <c r="BF43" s="11">
        <f t="shared" si="64"/>
        <v>8.9217879456324561E-2</v>
      </c>
      <c r="BG43" s="11">
        <f t="shared" si="65"/>
        <v>0.12236486488858332</v>
      </c>
      <c r="BI43" s="11">
        <v>0.12236486488858332</v>
      </c>
      <c r="BJ43" s="11">
        <v>0.10609767341747922</v>
      </c>
      <c r="BK43" s="11">
        <v>0.94895921650108228</v>
      </c>
      <c r="BM43" s="11">
        <f t="shared" si="34"/>
        <v>0.41004616880584754</v>
      </c>
      <c r="BN43" s="11">
        <f t="shared" si="31"/>
        <v>0.40435265179096108</v>
      </c>
      <c r="BP43" s="11">
        <f t="shared" si="66"/>
        <v>0.65915918513203864</v>
      </c>
      <c r="BQ43" s="11">
        <f t="shared" si="67"/>
        <v>0.64259650993302864</v>
      </c>
    </row>
    <row r="44" spans="1:69" x14ac:dyDescent="0.35">
      <c r="A44" t="s">
        <v>97</v>
      </c>
      <c r="B44" t="s">
        <v>100</v>
      </c>
      <c r="D44" t="s">
        <v>52</v>
      </c>
      <c r="E44" t="s">
        <v>52</v>
      </c>
      <c r="F44">
        <v>0.5</v>
      </c>
      <c r="G44">
        <v>60</v>
      </c>
      <c r="H44">
        <v>1</v>
      </c>
      <c r="I44">
        <f t="shared" si="36"/>
        <v>60</v>
      </c>
      <c r="J44">
        <v>30</v>
      </c>
      <c r="K44">
        <v>1</v>
      </c>
      <c r="L44">
        <f t="shared" si="37"/>
        <v>30</v>
      </c>
      <c r="M44">
        <v>80</v>
      </c>
      <c r="N44" s="1">
        <f t="shared" si="38"/>
        <v>41.112090439166934</v>
      </c>
      <c r="O44" s="1">
        <f t="shared" si="39"/>
        <v>21.239310552310268</v>
      </c>
      <c r="P44" s="1">
        <f t="shared" si="40"/>
        <v>31.175700495738603</v>
      </c>
      <c r="Q44">
        <v>3.5</v>
      </c>
      <c r="S44">
        <f t="shared" si="42"/>
        <v>0.5</v>
      </c>
      <c r="T44" s="1">
        <f t="shared" si="43"/>
        <v>0.87685182225915292</v>
      </c>
      <c r="U44" s="1">
        <f t="shared" si="44"/>
        <v>0.75413260064216425</v>
      </c>
      <c r="V44" s="1">
        <f t="shared" si="45"/>
        <v>1</v>
      </c>
      <c r="W44" s="1">
        <f t="shared" si="46"/>
        <v>0.75413260064216425</v>
      </c>
      <c r="X44" s="1">
        <f t="shared" si="47"/>
        <v>0.84316621950468418</v>
      </c>
      <c r="Y44">
        <v>0.75</v>
      </c>
      <c r="Z44" s="1">
        <f t="shared" si="48"/>
        <v>2.5385821311137597</v>
      </c>
      <c r="AA44" s="1">
        <f t="shared" si="49"/>
        <v>4.549756942472645E-2</v>
      </c>
      <c r="AB44" s="1">
        <f t="shared" si="50"/>
        <v>0.21843039932801356</v>
      </c>
      <c r="AD44" s="1">
        <v>3.4</v>
      </c>
      <c r="AE44" s="1">
        <v>1</v>
      </c>
      <c r="AF44" s="1">
        <f t="shared" si="68"/>
        <v>3.4</v>
      </c>
      <c r="AG44" s="1">
        <f t="shared" si="30"/>
        <v>6.6666666666666666E-2</v>
      </c>
      <c r="AH44" s="1">
        <v>1</v>
      </c>
      <c r="AI44" s="1">
        <v>0.1</v>
      </c>
      <c r="AJ44" s="1">
        <v>2</v>
      </c>
      <c r="AK44" s="1"/>
      <c r="AL44" s="1"/>
      <c r="AN44" s="1">
        <f t="shared" si="51"/>
        <v>0.97142857142857142</v>
      </c>
      <c r="AO44" s="1">
        <f t="shared" si="52"/>
        <v>0.89319995674854247</v>
      </c>
      <c r="AP44" s="1">
        <f t="shared" si="53"/>
        <v>0.89319995674854247</v>
      </c>
      <c r="AQ44" s="1">
        <f t="shared" si="54"/>
        <v>1</v>
      </c>
      <c r="AR44" s="1">
        <f t="shared" si="55"/>
        <v>0.8571428571428571</v>
      </c>
      <c r="AS44" s="1">
        <f t="shared" si="56"/>
        <v>0.90465833053439948</v>
      </c>
      <c r="AT44" s="1">
        <f t="shared" si="57"/>
        <v>0.89719378407630845</v>
      </c>
      <c r="AU44" s="11">
        <f t="shared" si="58"/>
        <v>0.19597439653039964</v>
      </c>
      <c r="AW44" s="1">
        <v>56</v>
      </c>
      <c r="AX44" s="12">
        <v>180</v>
      </c>
      <c r="AZ44" s="11">
        <f t="shared" si="59"/>
        <v>0.86153846153846159</v>
      </c>
      <c r="BA44" s="11">
        <f t="shared" si="60"/>
        <v>0.86153846153846159</v>
      </c>
      <c r="BB44" s="11">
        <f t="shared" si="61"/>
        <v>0.53987730061349692</v>
      </c>
      <c r="BC44" s="11">
        <f t="shared" si="62"/>
        <v>0.53987730061349692</v>
      </c>
      <c r="BD44" s="11">
        <f t="shared" si="63"/>
        <v>0.21851971340991272</v>
      </c>
      <c r="BF44" s="11">
        <f t="shared" si="64"/>
        <v>0.15227907082095093</v>
      </c>
      <c r="BG44" s="11">
        <f t="shared" si="65"/>
        <v>0.20885508644583409</v>
      </c>
      <c r="BI44" s="11">
        <v>0.20885508644583409</v>
      </c>
      <c r="BJ44" s="11">
        <v>0.10609767341747922</v>
      </c>
      <c r="BK44" s="11">
        <v>0.48569281144185844</v>
      </c>
      <c r="BM44" s="11">
        <f t="shared" si="34"/>
        <v>0.29547254889160712</v>
      </c>
      <c r="BN44" s="11">
        <f t="shared" si="31"/>
        <v>0.25950745433168293</v>
      </c>
      <c r="BP44" s="11">
        <f t="shared" si="66"/>
        <v>0.47497930568032348</v>
      </c>
      <c r="BQ44" s="11">
        <f t="shared" si="67"/>
        <v>0.41240878158344257</v>
      </c>
    </row>
    <row r="45" spans="1:69" x14ac:dyDescent="0.35">
      <c r="A45" t="s">
        <v>97</v>
      </c>
      <c r="B45" t="s">
        <v>101</v>
      </c>
      <c r="D45" t="s">
        <v>52</v>
      </c>
      <c r="E45" t="s">
        <v>52</v>
      </c>
      <c r="F45">
        <v>0.5</v>
      </c>
      <c r="G45">
        <v>6</v>
      </c>
      <c r="H45">
        <v>1</v>
      </c>
      <c r="I45">
        <f t="shared" si="36"/>
        <v>6</v>
      </c>
      <c r="J45">
        <v>3</v>
      </c>
      <c r="K45">
        <v>1</v>
      </c>
      <c r="L45">
        <f t="shared" si="37"/>
        <v>3</v>
      </c>
      <c r="M45">
        <v>40</v>
      </c>
      <c r="N45" s="1">
        <f t="shared" si="38"/>
        <v>8.578306657638036</v>
      </c>
      <c r="O45" s="1">
        <f t="shared" si="39"/>
        <v>4.2951708565970064</v>
      </c>
      <c r="P45" s="1">
        <f t="shared" si="40"/>
        <v>6.4367387571175207</v>
      </c>
      <c r="Q45">
        <v>1.8</v>
      </c>
      <c r="S45">
        <f t="shared" si="42"/>
        <v>0.5</v>
      </c>
      <c r="T45" s="1">
        <f t="shared" si="43"/>
        <v>0.18104055462542371</v>
      </c>
      <c r="U45" s="1">
        <f t="shared" si="44"/>
        <v>0.25148563781584776</v>
      </c>
      <c r="V45" s="1">
        <f t="shared" si="45"/>
        <v>1</v>
      </c>
      <c r="W45" s="1">
        <f t="shared" si="46"/>
        <v>0.25148563781584776</v>
      </c>
      <c r="X45" s="1">
        <f t="shared" si="47"/>
        <v>0.28117627366374459</v>
      </c>
      <c r="Y45">
        <v>0.75</v>
      </c>
      <c r="Z45" s="1">
        <f t="shared" si="48"/>
        <v>1.6167463576401722</v>
      </c>
      <c r="AA45" s="1">
        <f t="shared" si="49"/>
        <v>2.8976029078340283E-2</v>
      </c>
      <c r="AB45" s="1">
        <f>POWER(PRODUCT(POWER(S45,$S$129),POWER(X45,$X$129),POWER(AA45,$AA$129)),1/SUM($S$129,$X$129,$AA$129))</f>
        <v>0.13857973190131345</v>
      </c>
      <c r="AD45" s="1">
        <v>0.95</v>
      </c>
      <c r="AE45" s="1">
        <v>1</v>
      </c>
      <c r="AF45" s="1">
        <f t="shared" si="68"/>
        <v>0.95</v>
      </c>
      <c r="AG45" s="1">
        <f t="shared" si="30"/>
        <v>1.8627450980392157E-2</v>
      </c>
      <c r="AH45" s="1">
        <v>1</v>
      </c>
      <c r="AI45" s="1">
        <v>0.05</v>
      </c>
      <c r="AJ45" s="1">
        <v>6</v>
      </c>
      <c r="AK45" s="1"/>
      <c r="AL45" s="1"/>
      <c r="AN45" s="1">
        <f t="shared" si="51"/>
        <v>0.52777777777777779</v>
      </c>
      <c r="AO45" s="1">
        <f t="shared" si="52"/>
        <v>0.70336511608222696</v>
      </c>
      <c r="AP45" s="1">
        <f t="shared" si="53"/>
        <v>0.70336511608222696</v>
      </c>
      <c r="AQ45" s="1">
        <f t="shared" si="54"/>
        <v>1</v>
      </c>
      <c r="AR45" s="1">
        <f t="shared" si="55"/>
        <v>0.73684210526315785</v>
      </c>
      <c r="AS45" s="1">
        <f t="shared" si="56"/>
        <v>0.81996135145359483</v>
      </c>
      <c r="AT45" s="1">
        <f t="shared" si="57"/>
        <v>0.74215602991188512</v>
      </c>
      <c r="AU45" s="11">
        <f t="shared" si="58"/>
        <v>0.1028477836541322</v>
      </c>
      <c r="AW45" s="1">
        <v>56</v>
      </c>
      <c r="AX45" s="12">
        <v>180</v>
      </c>
      <c r="AZ45" s="11">
        <f t="shared" si="59"/>
        <v>0.86153846153846159</v>
      </c>
      <c r="BA45" s="11">
        <f t="shared" si="60"/>
        <v>0.86153846153846159</v>
      </c>
      <c r="BB45" s="11">
        <f t="shared" si="61"/>
        <v>0.53987730061349692</v>
      </c>
      <c r="BC45" s="11">
        <f t="shared" si="62"/>
        <v>0.53987730061349692</v>
      </c>
      <c r="BD45" s="11">
        <f t="shared" si="63"/>
        <v>0.21851971340991272</v>
      </c>
      <c r="BF45" s="11">
        <f t="shared" si="64"/>
        <v>7.9916382997592281E-2</v>
      </c>
      <c r="BG45" s="11">
        <f t="shared" si="65"/>
        <v>0.10960759735016809</v>
      </c>
      <c r="BI45" s="11">
        <v>0.10960759735016809</v>
      </c>
      <c r="BJ45" s="11">
        <v>0.10609767341747922</v>
      </c>
      <c r="BK45" s="11">
        <v>0.31631973883369408</v>
      </c>
      <c r="BM45" s="11">
        <f t="shared" si="34"/>
        <v>0.18160585447613331</v>
      </c>
      <c r="BN45" s="11">
        <f t="shared" si="31"/>
        <v>0.1803773810996922</v>
      </c>
      <c r="BP45" s="11">
        <f t="shared" si="66"/>
        <v>0.29193582615419017</v>
      </c>
      <c r="BQ45" s="11">
        <f t="shared" si="67"/>
        <v>0.28665541094421754</v>
      </c>
    </row>
    <row r="46" spans="1:69" x14ac:dyDescent="0.35">
      <c r="A46" t="s">
        <v>102</v>
      </c>
      <c r="B46" t="s">
        <v>98</v>
      </c>
      <c r="D46" t="s">
        <v>52</v>
      </c>
      <c r="E46" t="s">
        <v>52</v>
      </c>
      <c r="F46">
        <v>0.5</v>
      </c>
      <c r="G46">
        <v>6</v>
      </c>
      <c r="H46">
        <v>1</v>
      </c>
      <c r="I46">
        <f t="shared" si="36"/>
        <v>6</v>
      </c>
      <c r="J46">
        <v>3</v>
      </c>
      <c r="K46">
        <v>1</v>
      </c>
      <c r="L46">
        <f t="shared" si="37"/>
        <v>3</v>
      </c>
      <c r="M46">
        <v>30</v>
      </c>
      <c r="N46" s="1">
        <f t="shared" si="38"/>
        <v>11.421186274999286</v>
      </c>
      <c r="O46" s="1">
        <f t="shared" si="39"/>
        <v>5.7248104522234957</v>
      </c>
      <c r="P46" s="1">
        <f t="shared" si="40"/>
        <v>8.57299836361139</v>
      </c>
      <c r="Q46">
        <v>1.5</v>
      </c>
      <c r="S46">
        <f t="shared" si="42"/>
        <v>0.5</v>
      </c>
      <c r="T46" s="1">
        <f t="shared" si="43"/>
        <v>0.24112527121515406</v>
      </c>
      <c r="U46" s="1">
        <f t="shared" si="44"/>
        <v>0.32009380161537604</v>
      </c>
      <c r="V46" s="1">
        <f t="shared" si="45"/>
        <v>1</v>
      </c>
      <c r="W46" s="1">
        <f t="shared" si="46"/>
        <v>0.32009380161537604</v>
      </c>
      <c r="X46" s="1">
        <f t="shared" si="47"/>
        <v>0.3578843831510512</v>
      </c>
      <c r="Y46">
        <v>0.75</v>
      </c>
      <c r="Z46" s="1">
        <f t="shared" si="48"/>
        <v>1.401923788646684</v>
      </c>
      <c r="AA46" s="1">
        <f t="shared" si="49"/>
        <v>2.512588587163175E-2</v>
      </c>
      <c r="AB46" s="1">
        <f t="shared" si="50"/>
        <v>0.13903487204906742</v>
      </c>
      <c r="AD46" s="1">
        <v>1.5</v>
      </c>
      <c r="AE46" s="1">
        <v>1</v>
      </c>
      <c r="AF46" s="1">
        <f t="shared" si="68"/>
        <v>1.5</v>
      </c>
      <c r="AG46" s="1">
        <f t="shared" si="30"/>
        <v>2.9411764705882353E-2</v>
      </c>
      <c r="AH46" s="1">
        <v>1</v>
      </c>
      <c r="AI46" s="1">
        <v>0.15</v>
      </c>
      <c r="AJ46" s="1">
        <v>7</v>
      </c>
      <c r="AK46" s="1"/>
      <c r="AL46" s="1"/>
      <c r="AN46" s="1">
        <f t="shared" si="51"/>
        <v>1</v>
      </c>
      <c r="AO46" s="1">
        <f t="shared" si="52"/>
        <v>0.9</v>
      </c>
      <c r="AP46" s="1">
        <f t="shared" si="53"/>
        <v>0.9</v>
      </c>
      <c r="AQ46" s="1">
        <f t="shared" si="54"/>
        <v>1</v>
      </c>
      <c r="AR46" s="1">
        <f t="shared" si="55"/>
        <v>0.72727272727272729</v>
      </c>
      <c r="AS46" s="1">
        <f t="shared" si="56"/>
        <v>0.81302377588816965</v>
      </c>
      <c r="AT46" s="1">
        <f t="shared" si="57"/>
        <v>0.86854788545432593</v>
      </c>
      <c r="AU46" s="11">
        <f t="shared" si="58"/>
        <v>0.12075844412263027</v>
      </c>
      <c r="AW46" s="1">
        <v>56</v>
      </c>
      <c r="AX46" s="12">
        <v>90</v>
      </c>
      <c r="AZ46" s="11">
        <f t="shared" si="59"/>
        <v>0.86153846153846159</v>
      </c>
      <c r="BA46" s="11">
        <f t="shared" si="60"/>
        <v>0.86153846153846159</v>
      </c>
      <c r="BB46" s="11">
        <f t="shared" si="61"/>
        <v>0.26380368098159507</v>
      </c>
      <c r="BC46" s="11">
        <f t="shared" si="62"/>
        <v>0.26380368098159507</v>
      </c>
      <c r="BD46" s="11">
        <f t="shared" si="63"/>
        <v>0.41316995585249616</v>
      </c>
      <c r="BF46" s="11">
        <f t="shared" si="64"/>
        <v>9.917293243509058E-2</v>
      </c>
      <c r="BG46" s="11">
        <f t="shared" si="65"/>
        <v>0.13601850382428254</v>
      </c>
      <c r="BI46" s="11">
        <v>0.13601850382428254</v>
      </c>
      <c r="BJ46" s="11">
        <v>0.10609767341747922</v>
      </c>
      <c r="BK46" s="11">
        <v>0.94895921650108228</v>
      </c>
      <c r="BM46" s="11">
        <f t="shared" si="34"/>
        <v>0.41755567022048207</v>
      </c>
      <c r="BN46" s="11">
        <f t="shared" si="31"/>
        <v>0.40708337957810092</v>
      </c>
      <c r="BP46" s="11">
        <f t="shared" si="66"/>
        <v>0.67123089122219382</v>
      </c>
      <c r="BQ46" s="11">
        <f t="shared" si="67"/>
        <v>0.6469361776409589</v>
      </c>
    </row>
    <row r="47" spans="1:69" x14ac:dyDescent="0.35">
      <c r="A47" t="s">
        <v>102</v>
      </c>
      <c r="B47" t="s">
        <v>99</v>
      </c>
      <c r="D47" t="s">
        <v>52</v>
      </c>
      <c r="E47" t="s">
        <v>52</v>
      </c>
      <c r="F47">
        <v>0.5</v>
      </c>
      <c r="G47">
        <v>6</v>
      </c>
      <c r="H47">
        <v>1</v>
      </c>
      <c r="I47">
        <f t="shared" si="36"/>
        <v>6</v>
      </c>
      <c r="J47">
        <v>3</v>
      </c>
      <c r="K47">
        <v>1</v>
      </c>
      <c r="L47">
        <f t="shared" si="37"/>
        <v>3</v>
      </c>
      <c r="M47">
        <v>30</v>
      </c>
      <c r="N47" s="1">
        <f t="shared" si="38"/>
        <v>11.421186274999286</v>
      </c>
      <c r="O47" s="1">
        <f t="shared" si="39"/>
        <v>5.7248104522234957</v>
      </c>
      <c r="P47" s="1">
        <f t="shared" si="40"/>
        <v>8.57299836361139</v>
      </c>
      <c r="Q47">
        <v>1.8</v>
      </c>
      <c r="S47">
        <f t="shared" si="42"/>
        <v>0.5</v>
      </c>
      <c r="T47" s="1">
        <f t="shared" si="43"/>
        <v>0.24112527121515406</v>
      </c>
      <c r="U47" s="1">
        <f t="shared" si="44"/>
        <v>0.32009380161537604</v>
      </c>
      <c r="V47" s="1">
        <f t="shared" si="45"/>
        <v>1</v>
      </c>
      <c r="W47" s="1">
        <f t="shared" si="46"/>
        <v>0.32009380161537604</v>
      </c>
      <c r="X47" s="1">
        <f t="shared" si="47"/>
        <v>0.3578843831510512</v>
      </c>
      <c r="Y47">
        <v>0.75</v>
      </c>
      <c r="Z47" s="1">
        <f t="shared" si="48"/>
        <v>1.6167463576401722</v>
      </c>
      <c r="AA47" s="1">
        <f t="shared" si="49"/>
        <v>2.8976029078340283E-2</v>
      </c>
      <c r="AB47" s="1">
        <f t="shared" si="50"/>
        <v>0.14719421302805222</v>
      </c>
      <c r="AD47" s="1">
        <v>1.5</v>
      </c>
      <c r="AE47" s="1">
        <v>1</v>
      </c>
      <c r="AF47" s="1">
        <f t="shared" si="68"/>
        <v>1.5</v>
      </c>
      <c r="AG47" s="1">
        <f t="shared" si="30"/>
        <v>2.9411764705882353E-2</v>
      </c>
      <c r="AH47" s="1">
        <v>1</v>
      </c>
      <c r="AI47" s="1">
        <v>0.15</v>
      </c>
      <c r="AJ47" s="1">
        <v>7</v>
      </c>
      <c r="AK47" s="1"/>
      <c r="AL47" s="1"/>
      <c r="AN47" s="1">
        <f t="shared" si="51"/>
        <v>0.83333333333333326</v>
      </c>
      <c r="AO47" s="1">
        <f t="shared" si="52"/>
        <v>0.85322007323779303</v>
      </c>
      <c r="AP47" s="1">
        <f t="shared" si="53"/>
        <v>0.85322007323779303</v>
      </c>
      <c r="AQ47" s="1">
        <f t="shared" si="54"/>
        <v>1</v>
      </c>
      <c r="AR47" s="1">
        <f t="shared" si="55"/>
        <v>0.72727272727272729</v>
      </c>
      <c r="AS47" s="1">
        <f t="shared" si="56"/>
        <v>0.81302377588816965</v>
      </c>
      <c r="AT47" s="1">
        <f t="shared" si="57"/>
        <v>0.83893019894811738</v>
      </c>
      <c r="AU47" s="11">
        <f t="shared" si="58"/>
        <v>0.12348567041963542</v>
      </c>
      <c r="AW47" s="1">
        <v>56</v>
      </c>
      <c r="AX47" s="12">
        <v>90</v>
      </c>
      <c r="AZ47" s="11">
        <f t="shared" si="59"/>
        <v>0.86153846153846159</v>
      </c>
      <c r="BA47" s="11">
        <f t="shared" si="60"/>
        <v>0.86153846153846159</v>
      </c>
      <c r="BB47" s="11">
        <f t="shared" si="61"/>
        <v>0.26380368098159507</v>
      </c>
      <c r="BC47" s="11">
        <f t="shared" si="62"/>
        <v>0.26380368098159507</v>
      </c>
      <c r="BD47" s="11">
        <f t="shared" si="63"/>
        <v>0.41316995585249616</v>
      </c>
      <c r="BF47" s="11">
        <f t="shared" si="64"/>
        <v>0.10141266839105763</v>
      </c>
      <c r="BG47" s="11">
        <f t="shared" si="65"/>
        <v>0.13909036553303539</v>
      </c>
      <c r="BI47" s="11">
        <v>0.13909036553303539</v>
      </c>
      <c r="BJ47" s="11">
        <v>0.10609767341747922</v>
      </c>
      <c r="BK47" s="11">
        <v>0.94895921650108228</v>
      </c>
      <c r="BM47" s="11">
        <f t="shared" si="34"/>
        <v>0.41924519416029615</v>
      </c>
      <c r="BN47" s="11">
        <f t="shared" si="31"/>
        <v>0.40769775191985147</v>
      </c>
      <c r="BP47" s="11">
        <f t="shared" si="66"/>
        <v>0.67394684203005573</v>
      </c>
      <c r="BQ47" s="11">
        <f t="shared" si="67"/>
        <v>0.64791253706597984</v>
      </c>
    </row>
    <row r="48" spans="1:69" x14ac:dyDescent="0.35">
      <c r="A48" t="s">
        <v>102</v>
      </c>
      <c r="B48" t="s">
        <v>100</v>
      </c>
      <c r="D48" t="s">
        <v>52</v>
      </c>
      <c r="E48" t="s">
        <v>52</v>
      </c>
      <c r="F48">
        <v>0.5</v>
      </c>
      <c r="G48">
        <v>60</v>
      </c>
      <c r="H48">
        <v>1</v>
      </c>
      <c r="I48">
        <f t="shared" ref="I48:I79" si="69">G48*H48</f>
        <v>60</v>
      </c>
      <c r="J48">
        <v>30</v>
      </c>
      <c r="K48">
        <v>1</v>
      </c>
      <c r="L48">
        <f t="shared" ref="L48:L79" si="70">J48*K48</f>
        <v>30</v>
      </c>
      <c r="M48">
        <v>60</v>
      </c>
      <c r="N48" s="1">
        <f t="shared" ref="N48:N79" si="71">2*DEGREES(ATAN(I48/(2*M48)))</f>
        <v>53.13010235415598</v>
      </c>
      <c r="O48" s="1">
        <f t="shared" ref="O48:O84" si="72">2*DEGREES(ATAN(L48/(2*M48)))</f>
        <v>28.072486935852957</v>
      </c>
      <c r="P48" s="1">
        <f t="shared" ref="P48:P79" si="73">AVERAGE(N48:O48)</f>
        <v>40.601294645004472</v>
      </c>
      <c r="Q48">
        <v>3.5</v>
      </c>
      <c r="S48">
        <f t="shared" si="42"/>
        <v>0.5</v>
      </c>
      <c r="T48" s="1">
        <f t="shared" si="43"/>
        <v>1</v>
      </c>
      <c r="U48" s="1">
        <f t="shared" si="44"/>
        <v>0.79810348195079261</v>
      </c>
      <c r="V48" s="1">
        <f t="shared" si="45"/>
        <v>1.1206637167737867</v>
      </c>
      <c r="W48" s="1">
        <f t="shared" si="46"/>
        <v>0.89440561445307609</v>
      </c>
      <c r="X48" s="1">
        <f t="shared" si="47"/>
        <v>1</v>
      </c>
      <c r="Y48">
        <v>0.75</v>
      </c>
      <c r="Z48" s="1">
        <f t="shared" si="48"/>
        <v>2.5385821311137597</v>
      </c>
      <c r="AA48" s="1">
        <f t="shared" si="49"/>
        <v>4.549756942472645E-2</v>
      </c>
      <c r="AB48" s="1">
        <f t="shared" si="50"/>
        <v>0.22794747196899964</v>
      </c>
      <c r="AD48" s="1">
        <v>4.4000000000000004</v>
      </c>
      <c r="AE48" s="1">
        <v>1</v>
      </c>
      <c r="AF48" s="1">
        <f t="shared" si="68"/>
        <v>4.4000000000000004</v>
      </c>
      <c r="AG48" s="1">
        <f t="shared" si="30"/>
        <v>8.6274509803921581E-2</v>
      </c>
      <c r="AH48" s="1">
        <v>1</v>
      </c>
      <c r="AI48" s="1">
        <v>0.25</v>
      </c>
      <c r="AJ48" s="1">
        <v>2</v>
      </c>
      <c r="AK48" s="1"/>
      <c r="AL48" s="1"/>
      <c r="AN48" s="1">
        <f t="shared" si="51"/>
        <v>1</v>
      </c>
      <c r="AO48" s="1">
        <f t="shared" si="52"/>
        <v>0.9</v>
      </c>
      <c r="AP48" s="1">
        <f t="shared" si="53"/>
        <v>0.9</v>
      </c>
      <c r="AQ48" s="1">
        <f t="shared" si="54"/>
        <v>1</v>
      </c>
      <c r="AR48" s="1">
        <f t="shared" si="55"/>
        <v>0.8571428571428571</v>
      </c>
      <c r="AS48" s="1">
        <f t="shared" si="56"/>
        <v>0.90465833053439948</v>
      </c>
      <c r="AT48" s="1">
        <f t="shared" si="57"/>
        <v>0.9016276808236412</v>
      </c>
      <c r="AU48" s="11">
        <f t="shared" si="58"/>
        <v>0.20552375050102112</v>
      </c>
      <c r="AW48" s="1">
        <v>56</v>
      </c>
      <c r="AX48" s="12">
        <v>90</v>
      </c>
      <c r="AZ48" s="11">
        <f t="shared" si="59"/>
        <v>0.86153846153846159</v>
      </c>
      <c r="BA48" s="11">
        <f t="shared" si="60"/>
        <v>0.86153846153846159</v>
      </c>
      <c r="BB48" s="11">
        <f t="shared" si="61"/>
        <v>0.26380368098159507</v>
      </c>
      <c r="BC48" s="11">
        <f t="shared" si="62"/>
        <v>0.26380368098159507</v>
      </c>
      <c r="BD48" s="11">
        <f t="shared" si="63"/>
        <v>0.41316995585249616</v>
      </c>
      <c r="BF48" s="11">
        <f t="shared" si="64"/>
        <v>0.16878648255475903</v>
      </c>
      <c r="BG48" s="11">
        <f t="shared" si="65"/>
        <v>0.23149547219336208</v>
      </c>
      <c r="BI48" s="11">
        <v>0.23149547219336208</v>
      </c>
      <c r="BJ48" s="11">
        <v>0.10609767341747922</v>
      </c>
      <c r="BK48" s="11">
        <v>0.48569281144185844</v>
      </c>
      <c r="BM48" s="11">
        <f t="shared" si="34"/>
        <v>0.30792476105274752</v>
      </c>
      <c r="BN48" s="11">
        <f t="shared" si="31"/>
        <v>0.26403553148118852</v>
      </c>
      <c r="BP48" s="11">
        <f t="shared" si="66"/>
        <v>0.49499653945946642</v>
      </c>
      <c r="BQ48" s="11">
        <f t="shared" si="67"/>
        <v>0.41960479367855807</v>
      </c>
    </row>
    <row r="49" spans="1:69" x14ac:dyDescent="0.35">
      <c r="A49" t="s">
        <v>102</v>
      </c>
      <c r="B49" t="s">
        <v>101</v>
      </c>
      <c r="D49" t="s">
        <v>52</v>
      </c>
      <c r="E49" t="s">
        <v>52</v>
      </c>
      <c r="F49">
        <v>0.5</v>
      </c>
      <c r="G49">
        <v>6</v>
      </c>
      <c r="H49">
        <v>1</v>
      </c>
      <c r="I49">
        <f t="shared" si="69"/>
        <v>6</v>
      </c>
      <c r="J49">
        <v>3</v>
      </c>
      <c r="K49">
        <v>1</v>
      </c>
      <c r="L49">
        <f t="shared" si="70"/>
        <v>3</v>
      </c>
      <c r="M49">
        <v>30</v>
      </c>
      <c r="N49" s="1">
        <f t="shared" si="71"/>
        <v>11.421186274999286</v>
      </c>
      <c r="O49" s="1">
        <f t="shared" si="72"/>
        <v>5.7248104522234957</v>
      </c>
      <c r="P49" s="1">
        <f t="shared" si="73"/>
        <v>8.57299836361139</v>
      </c>
      <c r="Q49">
        <v>1.8</v>
      </c>
      <c r="S49">
        <f t="shared" si="42"/>
        <v>0.5</v>
      </c>
      <c r="T49" s="1">
        <f t="shared" si="43"/>
        <v>0.24112527121515406</v>
      </c>
      <c r="U49" s="1">
        <f t="shared" si="44"/>
        <v>0.32009380161537604</v>
      </c>
      <c r="V49" s="1">
        <f t="shared" si="45"/>
        <v>1</v>
      </c>
      <c r="W49" s="1">
        <f t="shared" si="46"/>
        <v>0.32009380161537604</v>
      </c>
      <c r="X49" s="1">
        <f t="shared" si="47"/>
        <v>0.3578843831510512</v>
      </c>
      <c r="Y49">
        <v>0.75</v>
      </c>
      <c r="Z49" s="1">
        <f t="shared" si="48"/>
        <v>1.6167463576401722</v>
      </c>
      <c r="AA49" s="1">
        <f t="shared" si="49"/>
        <v>2.8976029078340283E-2</v>
      </c>
      <c r="AB49" s="1">
        <f t="shared" si="50"/>
        <v>0.14719421302805222</v>
      </c>
      <c r="AD49" s="1">
        <v>2</v>
      </c>
      <c r="AE49" s="1">
        <v>1</v>
      </c>
      <c r="AF49" s="1">
        <f t="shared" si="68"/>
        <v>2</v>
      </c>
      <c r="AG49" s="1">
        <f t="shared" si="30"/>
        <v>3.9215686274509803E-2</v>
      </c>
      <c r="AH49" s="1">
        <v>1</v>
      </c>
      <c r="AI49" s="1">
        <v>0.15</v>
      </c>
      <c r="AJ49" s="1">
        <v>7</v>
      </c>
      <c r="AK49" s="1"/>
      <c r="AL49" s="1"/>
      <c r="AN49" s="1">
        <f t="shared" si="51"/>
        <v>1</v>
      </c>
      <c r="AO49" s="1">
        <f t="shared" si="52"/>
        <v>0.9</v>
      </c>
      <c r="AP49" s="1">
        <f t="shared" si="53"/>
        <v>0.9</v>
      </c>
      <c r="AQ49" s="1">
        <f t="shared" si="54"/>
        <v>1</v>
      </c>
      <c r="AR49" s="1">
        <f t="shared" si="55"/>
        <v>0.72727272727272729</v>
      </c>
      <c r="AS49" s="1">
        <f t="shared" si="56"/>
        <v>0.81302377588816965</v>
      </c>
      <c r="AT49" s="1">
        <f t="shared" si="57"/>
        <v>0.86854788545432593</v>
      </c>
      <c r="AU49" s="11">
        <f t="shared" si="58"/>
        <v>0.12784522247662836</v>
      </c>
      <c r="AW49" s="1">
        <v>56</v>
      </c>
      <c r="AX49" s="12">
        <v>90</v>
      </c>
      <c r="AZ49" s="11">
        <f t="shared" si="59"/>
        <v>0.86153846153846159</v>
      </c>
      <c r="BA49" s="11">
        <f t="shared" si="60"/>
        <v>0.86153846153846159</v>
      </c>
      <c r="BB49" s="11">
        <f t="shared" si="61"/>
        <v>0.26380368098159507</v>
      </c>
      <c r="BC49" s="11">
        <f t="shared" si="62"/>
        <v>0.26380368098159507</v>
      </c>
      <c r="BD49" s="11">
        <f t="shared" si="63"/>
        <v>0.41316995585249616</v>
      </c>
      <c r="BF49" s="11">
        <f t="shared" si="64"/>
        <v>0.10499295269114656</v>
      </c>
      <c r="BG49" s="11">
        <f t="shared" si="65"/>
        <v>0.14400082750896212</v>
      </c>
      <c r="BI49" s="11">
        <v>0.14400082750896212</v>
      </c>
      <c r="BJ49" s="11">
        <v>0.10609767341747922</v>
      </c>
      <c r="BK49" s="11">
        <v>0.31631973883369408</v>
      </c>
      <c r="BM49" s="11">
        <f t="shared" si="34"/>
        <v>0.20052213106347</v>
      </c>
      <c r="BN49" s="11">
        <f t="shared" si="31"/>
        <v>0.18725602713145101</v>
      </c>
      <c r="BP49" s="11">
        <f t="shared" si="66"/>
        <v>0.32234420064858754</v>
      </c>
      <c r="BQ49" s="11">
        <f t="shared" si="67"/>
        <v>0.29758694289657384</v>
      </c>
    </row>
    <row r="50" spans="1:69" x14ac:dyDescent="0.35">
      <c r="A50" t="s">
        <v>103</v>
      </c>
      <c r="B50" t="s">
        <v>104</v>
      </c>
      <c r="C50">
        <v>30</v>
      </c>
      <c r="D50" t="s">
        <v>53</v>
      </c>
      <c r="E50" t="s">
        <v>91</v>
      </c>
      <c r="F50">
        <v>0.7</v>
      </c>
      <c r="G50">
        <v>0.38</v>
      </c>
      <c r="H50">
        <v>0.6</v>
      </c>
      <c r="I50">
        <f t="shared" si="69"/>
        <v>0.22799999999999998</v>
      </c>
      <c r="J50">
        <v>0.22</v>
      </c>
      <c r="K50">
        <v>0.6</v>
      </c>
      <c r="L50">
        <f t="shared" si="70"/>
        <v>0.13200000000000001</v>
      </c>
      <c r="M50">
        <v>0.45</v>
      </c>
      <c r="N50" s="1">
        <f t="shared" si="71"/>
        <v>28.431706947347106</v>
      </c>
      <c r="O50" s="1">
        <f t="shared" si="72"/>
        <v>16.68778316806619</v>
      </c>
      <c r="P50" s="1">
        <f t="shared" si="73"/>
        <v>22.55974505770665</v>
      </c>
      <c r="Q50">
        <v>30</v>
      </c>
      <c r="S50">
        <f t="shared" si="42"/>
        <v>0.7</v>
      </c>
      <c r="T50" s="1">
        <f t="shared" si="43"/>
        <v>0.63451833476062325</v>
      </c>
      <c r="U50" s="1">
        <f t="shared" si="44"/>
        <v>0.63768067236072101</v>
      </c>
      <c r="V50" s="1">
        <f t="shared" si="45"/>
        <v>1</v>
      </c>
      <c r="W50" s="1">
        <f t="shared" si="46"/>
        <v>0.63768067236072101</v>
      </c>
      <c r="X50" s="1">
        <f t="shared" si="47"/>
        <v>0.71296586476669099</v>
      </c>
      <c r="Y50">
        <v>0.97</v>
      </c>
      <c r="Z50" s="1">
        <f t="shared" si="48"/>
        <v>19.966431048561397</v>
      </c>
      <c r="AA50" s="1">
        <f t="shared" si="49"/>
        <v>0.35784703266519102</v>
      </c>
      <c r="AB50" s="1">
        <f t="shared" si="50"/>
        <v>0.53768815148273852</v>
      </c>
      <c r="AD50" s="1">
        <v>30</v>
      </c>
      <c r="AE50" s="1">
        <v>0.06</v>
      </c>
      <c r="AF50" s="1">
        <f t="shared" si="68"/>
        <v>1.7999999999999998</v>
      </c>
      <c r="AG50" s="1">
        <f t="shared" si="30"/>
        <v>3.5294117647058823E-2</v>
      </c>
      <c r="AH50" s="1">
        <v>0.72</v>
      </c>
      <c r="AI50" s="10">
        <v>0.44</v>
      </c>
      <c r="AJ50" s="1">
        <v>6</v>
      </c>
      <c r="AK50" s="1"/>
      <c r="AL50" s="1"/>
      <c r="AN50" s="1">
        <f t="shared" si="51"/>
        <v>5.9999999999999991E-2</v>
      </c>
      <c r="AO50" s="1">
        <f t="shared" si="52"/>
        <v>0.27058898328437841</v>
      </c>
      <c r="AP50" s="1">
        <f t="shared" si="53"/>
        <v>0.27058898328437841</v>
      </c>
      <c r="AQ50" s="1">
        <f t="shared" si="54"/>
        <v>0.72</v>
      </c>
      <c r="AR50" s="1">
        <f t="shared" si="55"/>
        <v>0.73684210526315785</v>
      </c>
      <c r="AS50" s="1">
        <f t="shared" si="56"/>
        <v>0.73090301997343798</v>
      </c>
      <c r="AT50" s="1">
        <f t="shared" si="57"/>
        <v>0.38313558177134049</v>
      </c>
      <c r="AU50" s="11">
        <f t="shared" si="58"/>
        <v>0.20600746272989567</v>
      </c>
      <c r="AW50" s="1">
        <v>48</v>
      </c>
      <c r="AX50" s="12">
        <v>90</v>
      </c>
      <c r="AZ50" s="11">
        <f t="shared" si="59"/>
        <v>0.7384615384615385</v>
      </c>
      <c r="BA50" s="11">
        <f t="shared" si="60"/>
        <v>0.7384615384615385</v>
      </c>
      <c r="BB50" s="11">
        <f t="shared" si="61"/>
        <v>0.26380368098159507</v>
      </c>
      <c r="BC50" s="11">
        <f t="shared" si="62"/>
        <v>0.26380368098159507</v>
      </c>
      <c r="BD50" s="11">
        <f t="shared" si="63"/>
        <v>0.41316995585249616</v>
      </c>
      <c r="BF50" s="11">
        <f t="shared" si="64"/>
        <v>0.16417356871397881</v>
      </c>
      <c r="BG50" s="11">
        <f t="shared" si="65"/>
        <v>0.22516872936659416</v>
      </c>
      <c r="BI50" s="11">
        <v>0.22516872936659416</v>
      </c>
      <c r="BJ50" s="11">
        <v>1</v>
      </c>
      <c r="BK50" s="11">
        <v>0.1715582853203198</v>
      </c>
      <c r="BM50" s="11">
        <f t="shared" si="34"/>
        <v>0.28388820101373874</v>
      </c>
      <c r="BN50" s="11">
        <f t="shared" si="31"/>
        <v>0.55507914573543071</v>
      </c>
      <c r="BP50" s="11">
        <f t="shared" si="66"/>
        <v>0.45635718483549415</v>
      </c>
      <c r="BQ50" s="11">
        <f t="shared" si="67"/>
        <v>0.88213078412205992</v>
      </c>
    </row>
    <row r="51" spans="1:69" x14ac:dyDescent="0.35">
      <c r="A51" t="s">
        <v>103</v>
      </c>
      <c r="B51" t="s">
        <v>104</v>
      </c>
      <c r="C51">
        <v>25</v>
      </c>
      <c r="D51" t="s">
        <v>53</v>
      </c>
      <c r="E51" t="s">
        <v>92</v>
      </c>
      <c r="F51">
        <v>0.7</v>
      </c>
      <c r="G51">
        <v>0.38</v>
      </c>
      <c r="H51">
        <v>0.6</v>
      </c>
      <c r="I51">
        <f t="shared" si="69"/>
        <v>0.22799999999999998</v>
      </c>
      <c r="J51">
        <v>0.22</v>
      </c>
      <c r="K51">
        <v>0.6</v>
      </c>
      <c r="L51">
        <f t="shared" si="70"/>
        <v>0.13200000000000001</v>
      </c>
      <c r="M51">
        <v>0.45</v>
      </c>
      <c r="N51" s="1">
        <f t="shared" si="71"/>
        <v>28.431706947347106</v>
      </c>
      <c r="O51" s="1">
        <f t="shared" si="72"/>
        <v>16.68778316806619</v>
      </c>
      <c r="P51" s="1">
        <f t="shared" si="73"/>
        <v>22.55974505770665</v>
      </c>
      <c r="Q51">
        <v>25</v>
      </c>
      <c r="S51">
        <f t="shared" si="42"/>
        <v>0.7</v>
      </c>
      <c r="T51" s="1">
        <f t="shared" si="43"/>
        <v>0.63451833476062325</v>
      </c>
      <c r="U51" s="1">
        <f t="shared" si="44"/>
        <v>0.63768067236072101</v>
      </c>
      <c r="V51" s="1">
        <f t="shared" si="45"/>
        <v>1</v>
      </c>
      <c r="W51" s="1">
        <f t="shared" si="46"/>
        <v>0.63768067236072101</v>
      </c>
      <c r="X51" s="1">
        <f t="shared" si="47"/>
        <v>0.71296586476669099</v>
      </c>
      <c r="Y51">
        <v>0.96499999999999997</v>
      </c>
      <c r="Z51" s="1">
        <f t="shared" si="48"/>
        <v>16.846376253405058</v>
      </c>
      <c r="AA51" s="1">
        <f t="shared" si="49"/>
        <v>0.30192805808811252</v>
      </c>
      <c r="AB51" s="1">
        <f t="shared" si="50"/>
        <v>0.50235749692455967</v>
      </c>
      <c r="AD51" s="1">
        <v>25</v>
      </c>
      <c r="AE51" s="1">
        <v>7.0000000000000007E-2</v>
      </c>
      <c r="AF51" s="1">
        <f t="shared" si="68"/>
        <v>1.7500000000000002</v>
      </c>
      <c r="AG51" s="1">
        <f t="shared" si="30"/>
        <v>3.4313725490196081E-2</v>
      </c>
      <c r="AH51" s="1">
        <v>0.72</v>
      </c>
      <c r="AI51" s="10">
        <v>0.44</v>
      </c>
      <c r="AJ51" s="1">
        <v>6</v>
      </c>
      <c r="AK51" s="1"/>
      <c r="AL51" s="1"/>
      <c r="AN51" s="1">
        <f t="shared" si="51"/>
        <v>7.0000000000000007E-2</v>
      </c>
      <c r="AO51" s="1">
        <f t="shared" si="52"/>
        <v>0.28392552031262663</v>
      </c>
      <c r="AP51" s="1">
        <f t="shared" si="53"/>
        <v>0.28392552031262663</v>
      </c>
      <c r="AQ51" s="1">
        <f t="shared" si="54"/>
        <v>0.72</v>
      </c>
      <c r="AR51" s="1">
        <f t="shared" si="55"/>
        <v>0.73684210526315785</v>
      </c>
      <c r="AS51" s="1">
        <f t="shared" si="56"/>
        <v>0.73090301997343798</v>
      </c>
      <c r="AT51" s="1">
        <f t="shared" si="57"/>
        <v>0.39530635340732839</v>
      </c>
      <c r="AU51" s="11">
        <f t="shared" si="58"/>
        <v>0.19858511021608086</v>
      </c>
      <c r="AW51" s="1">
        <v>48</v>
      </c>
      <c r="AX51" s="12">
        <v>90</v>
      </c>
      <c r="AZ51" s="11">
        <f t="shared" si="59"/>
        <v>0.7384615384615385</v>
      </c>
      <c r="BA51" s="11">
        <f t="shared" si="60"/>
        <v>0.7384615384615385</v>
      </c>
      <c r="BB51" s="11">
        <f t="shared" si="61"/>
        <v>0.26380368098159507</v>
      </c>
      <c r="BC51" s="11">
        <f t="shared" si="62"/>
        <v>0.26380368098159507</v>
      </c>
      <c r="BD51" s="11">
        <f t="shared" si="63"/>
        <v>0.41316995585249616</v>
      </c>
      <c r="BF51" s="11">
        <f t="shared" si="64"/>
        <v>0.15825847183205738</v>
      </c>
      <c r="BG51" s="11">
        <f t="shared" si="65"/>
        <v>0.21705600537931846</v>
      </c>
      <c r="BI51" s="11">
        <v>0.21705600537931846</v>
      </c>
      <c r="BJ51" s="11">
        <v>1</v>
      </c>
      <c r="BK51" s="11">
        <v>0.1715582853203198</v>
      </c>
      <c r="BM51" s="11">
        <f t="shared" si="34"/>
        <v>0.2794262028207371</v>
      </c>
      <c r="BN51" s="11">
        <f t="shared" si="31"/>
        <v>0.55345660093797566</v>
      </c>
      <c r="BP51" s="11">
        <f t="shared" si="66"/>
        <v>0.44918441426303646</v>
      </c>
      <c r="BQ51" s="11">
        <f t="shared" si="67"/>
        <v>0.87955223883631362</v>
      </c>
    </row>
    <row r="52" spans="1:69" x14ac:dyDescent="0.35">
      <c r="A52" t="s">
        <v>103</v>
      </c>
      <c r="B52" t="s">
        <v>104</v>
      </c>
      <c r="C52">
        <v>20</v>
      </c>
      <c r="D52" t="s">
        <v>53</v>
      </c>
      <c r="E52" t="s">
        <v>55</v>
      </c>
      <c r="F52">
        <v>0.7</v>
      </c>
      <c r="G52">
        <v>0.38</v>
      </c>
      <c r="H52">
        <v>0.6</v>
      </c>
      <c r="I52">
        <f t="shared" si="69"/>
        <v>0.22799999999999998</v>
      </c>
      <c r="J52">
        <v>0.22</v>
      </c>
      <c r="K52">
        <v>0.6</v>
      </c>
      <c r="L52">
        <f t="shared" si="70"/>
        <v>0.13200000000000001</v>
      </c>
      <c r="M52">
        <v>0.45</v>
      </c>
      <c r="N52" s="1">
        <f t="shared" si="71"/>
        <v>28.431706947347106</v>
      </c>
      <c r="O52" s="1">
        <f t="shared" si="72"/>
        <v>16.68778316806619</v>
      </c>
      <c r="P52" s="1">
        <f t="shared" si="73"/>
        <v>22.55974505770665</v>
      </c>
      <c r="Q52">
        <v>20</v>
      </c>
      <c r="S52">
        <f t="shared" si="42"/>
        <v>0.7</v>
      </c>
      <c r="T52" s="1">
        <f t="shared" si="43"/>
        <v>0.63451833476062325</v>
      </c>
      <c r="U52" s="1">
        <f t="shared" si="44"/>
        <v>0.63768067236072101</v>
      </c>
      <c r="V52" s="1">
        <f t="shared" si="45"/>
        <v>1</v>
      </c>
      <c r="W52" s="1">
        <f t="shared" si="46"/>
        <v>0.63768067236072101</v>
      </c>
      <c r="X52" s="1">
        <f t="shared" si="47"/>
        <v>0.71296586476669099</v>
      </c>
      <c r="Y52">
        <v>0.96</v>
      </c>
      <c r="Z52" s="1">
        <f t="shared" si="48"/>
        <v>13.949939153014794</v>
      </c>
      <c r="AA52" s="1">
        <f t="shared" si="49"/>
        <v>0.25001685677451041</v>
      </c>
      <c r="AB52" s="1">
        <f t="shared" si="50"/>
        <v>0.46584261465201959</v>
      </c>
      <c r="AD52" s="1">
        <v>20</v>
      </c>
      <c r="AE52" s="1">
        <v>0.08</v>
      </c>
      <c r="AF52" s="1">
        <f t="shared" si="68"/>
        <v>1.6</v>
      </c>
      <c r="AG52" s="1">
        <f t="shared" si="30"/>
        <v>3.1372549019607843E-2</v>
      </c>
      <c r="AH52" s="1">
        <v>0.72</v>
      </c>
      <c r="AI52" s="10">
        <v>0.44</v>
      </c>
      <c r="AJ52" s="1">
        <v>6</v>
      </c>
      <c r="AK52" s="1"/>
      <c r="AL52" s="1"/>
      <c r="AN52" s="1">
        <f t="shared" si="51"/>
        <v>0.08</v>
      </c>
      <c r="AO52" s="1">
        <f t="shared" si="52"/>
        <v>0.29534680594035601</v>
      </c>
      <c r="AP52" s="1">
        <f t="shared" si="53"/>
        <v>0.29534680594035601</v>
      </c>
      <c r="AQ52" s="1">
        <f t="shared" si="54"/>
        <v>0.72</v>
      </c>
      <c r="AR52" s="1">
        <f t="shared" si="55"/>
        <v>0.73684210526315785</v>
      </c>
      <c r="AS52" s="1">
        <f t="shared" si="56"/>
        <v>0.73090301997343798</v>
      </c>
      <c r="AT52" s="1">
        <f t="shared" si="57"/>
        <v>0.40557100200467194</v>
      </c>
      <c r="AU52" s="11">
        <f t="shared" si="58"/>
        <v>0.18893225600089586</v>
      </c>
      <c r="AW52" s="1">
        <v>48</v>
      </c>
      <c r="AX52" s="12">
        <v>90</v>
      </c>
      <c r="AZ52" s="11">
        <f t="shared" si="59"/>
        <v>0.7384615384615385</v>
      </c>
      <c r="BA52" s="11">
        <f t="shared" si="60"/>
        <v>0.7384615384615385</v>
      </c>
      <c r="BB52" s="11">
        <f t="shared" si="61"/>
        <v>0.26380368098159507</v>
      </c>
      <c r="BC52" s="11">
        <f t="shared" si="62"/>
        <v>0.26380368098159507</v>
      </c>
      <c r="BD52" s="11">
        <f t="shared" si="63"/>
        <v>0.41316995585249616</v>
      </c>
      <c r="BF52" s="11">
        <f t="shared" si="64"/>
        <v>0.15056582078057335</v>
      </c>
      <c r="BG52" s="11">
        <f t="shared" si="65"/>
        <v>0.20650531517813892</v>
      </c>
      <c r="BI52" s="11">
        <v>0.20650531517813892</v>
      </c>
      <c r="BJ52" s="11">
        <v>1</v>
      </c>
      <c r="BK52" s="11">
        <v>0.1715582853203198</v>
      </c>
      <c r="BM52" s="11">
        <f t="shared" si="34"/>
        <v>0.27362332321008836</v>
      </c>
      <c r="BN52" s="11">
        <f t="shared" si="31"/>
        <v>0.5513464628977397</v>
      </c>
      <c r="BP52" s="11">
        <f t="shared" si="66"/>
        <v>0.43985614421307134</v>
      </c>
      <c r="BQ52" s="11">
        <f t="shared" si="67"/>
        <v>0.87619881124253707</v>
      </c>
    </row>
    <row r="53" spans="1:69" x14ac:dyDescent="0.35">
      <c r="A53" t="s">
        <v>103</v>
      </c>
      <c r="B53" t="s">
        <v>104</v>
      </c>
      <c r="C53">
        <v>15</v>
      </c>
      <c r="D53" t="s">
        <v>53</v>
      </c>
      <c r="E53" t="s">
        <v>93</v>
      </c>
      <c r="F53">
        <v>0.7</v>
      </c>
      <c r="G53">
        <v>0.38</v>
      </c>
      <c r="H53">
        <v>0.6</v>
      </c>
      <c r="I53">
        <f t="shared" si="69"/>
        <v>0.22799999999999998</v>
      </c>
      <c r="J53">
        <v>0.22</v>
      </c>
      <c r="K53">
        <v>0.6</v>
      </c>
      <c r="L53">
        <f t="shared" si="70"/>
        <v>0.13200000000000001</v>
      </c>
      <c r="M53">
        <v>0.45</v>
      </c>
      <c r="N53" s="1">
        <f t="shared" si="71"/>
        <v>28.431706947347106</v>
      </c>
      <c r="O53" s="1">
        <f t="shared" si="72"/>
        <v>16.68778316806619</v>
      </c>
      <c r="P53" s="1">
        <f t="shared" si="73"/>
        <v>22.55974505770665</v>
      </c>
      <c r="Q53">
        <v>15</v>
      </c>
      <c r="S53">
        <f t="shared" si="42"/>
        <v>0.7</v>
      </c>
      <c r="T53" s="1">
        <f t="shared" si="43"/>
        <v>0.63451833476062325</v>
      </c>
      <c r="U53" s="1">
        <f t="shared" si="44"/>
        <v>0.63768067236072101</v>
      </c>
      <c r="V53" s="1">
        <f t="shared" si="45"/>
        <v>1</v>
      </c>
      <c r="W53" s="1">
        <f t="shared" si="46"/>
        <v>0.63768067236072101</v>
      </c>
      <c r="X53" s="1">
        <f t="shared" si="47"/>
        <v>0.71296586476669099</v>
      </c>
      <c r="Y53">
        <v>0.95</v>
      </c>
      <c r="Z53" s="1">
        <f t="shared" si="48"/>
        <v>10.734175396804924</v>
      </c>
      <c r="AA53" s="1">
        <f t="shared" si="49"/>
        <v>0.19238254470776356</v>
      </c>
      <c r="AB53" s="1">
        <f t="shared" si="50"/>
        <v>0.4194862831434733</v>
      </c>
      <c r="AD53" s="1">
        <v>15</v>
      </c>
      <c r="AE53" s="1">
        <v>0.1</v>
      </c>
      <c r="AF53" s="1">
        <f t="shared" si="68"/>
        <v>1.5</v>
      </c>
      <c r="AG53" s="1">
        <f t="shared" si="30"/>
        <v>2.9411764705882353E-2</v>
      </c>
      <c r="AH53" s="1">
        <v>0.72</v>
      </c>
      <c r="AI53" s="10">
        <v>0.44</v>
      </c>
      <c r="AJ53" s="1">
        <v>6</v>
      </c>
      <c r="AK53" s="1"/>
      <c r="AL53" s="1"/>
      <c r="AN53" s="1">
        <f t="shared" si="51"/>
        <v>0.1</v>
      </c>
      <c r="AO53" s="1">
        <f t="shared" si="52"/>
        <v>0.31418018671696779</v>
      </c>
      <c r="AP53" s="1">
        <f t="shared" si="53"/>
        <v>0.31418018671696779</v>
      </c>
      <c r="AQ53" s="1">
        <f t="shared" si="54"/>
        <v>0.72</v>
      </c>
      <c r="AR53" s="1">
        <f t="shared" si="55"/>
        <v>0.73684210526315785</v>
      </c>
      <c r="AS53" s="1">
        <f t="shared" si="56"/>
        <v>0.73090301997343798</v>
      </c>
      <c r="AT53" s="1">
        <f t="shared" si="57"/>
        <v>0.42219893208600401</v>
      </c>
      <c r="AU53" s="11">
        <f t="shared" si="58"/>
        <v>0.17710666076790155</v>
      </c>
      <c r="AW53" s="1">
        <v>48</v>
      </c>
      <c r="AX53" s="12">
        <v>90</v>
      </c>
      <c r="AZ53" s="11">
        <f t="shared" si="59"/>
        <v>0.7384615384615385</v>
      </c>
      <c r="BA53" s="11">
        <f t="shared" si="60"/>
        <v>0.7384615384615385</v>
      </c>
      <c r="BB53" s="11">
        <f t="shared" si="61"/>
        <v>0.26380368098159507</v>
      </c>
      <c r="BC53" s="11">
        <f t="shared" si="62"/>
        <v>0.26380368098159507</v>
      </c>
      <c r="BD53" s="11">
        <f t="shared" si="63"/>
        <v>0.41316995585249616</v>
      </c>
      <c r="BF53" s="11">
        <f>AU53
 * (1 - $BF$135 * POWER(1 - BA53, $BF$136))
 * (1 - $BF$137 * POWER(1 - BD53, $BF$138))</f>
        <v>0.141141646792696</v>
      </c>
      <c r="BG53" s="11">
        <f t="shared" si="65"/>
        <v>0.19357979191149771</v>
      </c>
      <c r="BI53" s="11">
        <v>0.19357979191149771</v>
      </c>
      <c r="BJ53" s="11">
        <v>1</v>
      </c>
      <c r="BK53" s="11">
        <v>0.1715582853203198</v>
      </c>
      <c r="BM53" s="11">
        <f t="shared" si="34"/>
        <v>0.26651428541343569</v>
      </c>
      <c r="BN53" s="11">
        <f t="shared" si="31"/>
        <v>0.54876135824441141</v>
      </c>
      <c r="BP53" s="11">
        <f t="shared" si="66"/>
        <v>0.42842819312463376</v>
      </c>
      <c r="BQ53" s="11">
        <f t="shared" si="67"/>
        <v>0.87209056755801395</v>
      </c>
    </row>
    <row r="54" spans="1:69" x14ac:dyDescent="0.35">
      <c r="A54" t="s">
        <v>103</v>
      </c>
      <c r="B54" t="s">
        <v>104</v>
      </c>
      <c r="C54">
        <v>10</v>
      </c>
      <c r="D54" t="s">
        <v>53</v>
      </c>
      <c r="E54" t="s">
        <v>94</v>
      </c>
      <c r="F54">
        <v>0.7</v>
      </c>
      <c r="G54">
        <v>0.38</v>
      </c>
      <c r="H54">
        <v>0.6</v>
      </c>
      <c r="I54">
        <f t="shared" si="69"/>
        <v>0.22799999999999998</v>
      </c>
      <c r="J54">
        <v>0.22</v>
      </c>
      <c r="K54">
        <v>0.6</v>
      </c>
      <c r="L54">
        <f t="shared" si="70"/>
        <v>0.13200000000000001</v>
      </c>
      <c r="M54">
        <v>0.45</v>
      </c>
      <c r="N54" s="1">
        <f t="shared" si="71"/>
        <v>28.431706947347106</v>
      </c>
      <c r="O54" s="1">
        <f t="shared" si="72"/>
        <v>16.68778316806619</v>
      </c>
      <c r="P54" s="1">
        <f t="shared" si="73"/>
        <v>22.55974505770665</v>
      </c>
      <c r="Q54">
        <v>10</v>
      </c>
      <c r="S54">
        <f t="shared" si="42"/>
        <v>0.7</v>
      </c>
      <c r="T54" s="1">
        <f t="shared" si="43"/>
        <v>0.63451833476062325</v>
      </c>
      <c r="U54" s="1">
        <f t="shared" si="44"/>
        <v>0.63768067236072101</v>
      </c>
      <c r="V54" s="1">
        <f t="shared" si="45"/>
        <v>1</v>
      </c>
      <c r="W54" s="1">
        <f t="shared" si="46"/>
        <v>0.63768067236072101</v>
      </c>
      <c r="X54" s="1">
        <f t="shared" si="47"/>
        <v>0.71296586476669099</v>
      </c>
      <c r="Y54">
        <v>0.9</v>
      </c>
      <c r="Z54" s="1">
        <f t="shared" si="48"/>
        <v>6.5132155989999996</v>
      </c>
      <c r="AA54" s="1">
        <f t="shared" si="49"/>
        <v>0.11673267343282748</v>
      </c>
      <c r="AB54" s="1">
        <f t="shared" si="50"/>
        <v>0.34350136809019055</v>
      </c>
      <c r="AD54" s="1">
        <v>10</v>
      </c>
      <c r="AE54" s="1">
        <v>0.13</v>
      </c>
      <c r="AF54" s="1">
        <f t="shared" si="68"/>
        <v>1.3</v>
      </c>
      <c r="AG54" s="1">
        <f t="shared" si="30"/>
        <v>2.5490196078431372E-2</v>
      </c>
      <c r="AH54" s="1">
        <v>0.72</v>
      </c>
      <c r="AI54" s="10">
        <v>0.44</v>
      </c>
      <c r="AJ54" s="1">
        <v>6</v>
      </c>
      <c r="AK54" s="1"/>
      <c r="AL54" s="1"/>
      <c r="AN54" s="1">
        <f t="shared" si="51"/>
        <v>0.13</v>
      </c>
      <c r="AO54" s="1">
        <f t="shared" si="52"/>
        <v>0.3503164849034589</v>
      </c>
      <c r="AP54" s="1">
        <f t="shared" si="53"/>
        <v>0.3503164849034589</v>
      </c>
      <c r="AQ54" s="1">
        <f t="shared" si="54"/>
        <v>0.72</v>
      </c>
      <c r="AR54" s="1">
        <f t="shared" si="55"/>
        <v>0.73684210526315785</v>
      </c>
      <c r="AS54" s="1">
        <f t="shared" si="56"/>
        <v>0.73090301997343798</v>
      </c>
      <c r="AT54" s="1">
        <f t="shared" si="57"/>
        <v>0.45315866439258745</v>
      </c>
      <c r="AU54" s="11">
        <f t="shared" si="58"/>
        <v>0.15566062118077731</v>
      </c>
      <c r="AW54" s="1">
        <v>48</v>
      </c>
      <c r="AX54" s="12">
        <v>90</v>
      </c>
      <c r="AZ54" s="11">
        <f t="shared" si="59"/>
        <v>0.7384615384615385</v>
      </c>
      <c r="BA54" s="11">
        <f t="shared" si="60"/>
        <v>0.7384615384615385</v>
      </c>
      <c r="BB54" s="11">
        <f t="shared" si="61"/>
        <v>0.26380368098159507</v>
      </c>
      <c r="BC54" s="11">
        <f t="shared" si="62"/>
        <v>0.26380368098159507</v>
      </c>
      <c r="BD54" s="11">
        <f t="shared" si="63"/>
        <v>0.41316995585249616</v>
      </c>
      <c r="BF54" s="11">
        <f>AU54
 * (1 - $BF$135 * POWER(1 - BA54, $BF$136))
 * (1 - $BF$137 * POWER(1 - BD54, $BF$138))</f>
        <v>0.12405065015042484</v>
      </c>
      <c r="BG54" s="11">
        <f t="shared" si="65"/>
        <v>0.1701390028265416</v>
      </c>
      <c r="BI54" s="11">
        <v>0.1701390028265416</v>
      </c>
      <c r="BJ54" s="11">
        <v>1</v>
      </c>
      <c r="BK54" s="11">
        <v>0.1715582853203198</v>
      </c>
      <c r="BM54" s="11">
        <f t="shared" si="34"/>
        <v>0.25362185141670984</v>
      </c>
      <c r="BN54" s="11">
        <f t="shared" si="31"/>
        <v>0.54407320042742024</v>
      </c>
      <c r="BP54" s="11">
        <f t="shared" si="66"/>
        <v>0.4077032920423993</v>
      </c>
      <c r="BQ54" s="11">
        <f t="shared" si="67"/>
        <v>0.86464015555287344</v>
      </c>
    </row>
    <row r="55" spans="1:69" x14ac:dyDescent="0.35">
      <c r="A55" t="s">
        <v>103</v>
      </c>
      <c r="B55" t="s">
        <v>105</v>
      </c>
      <c r="C55">
        <v>30</v>
      </c>
      <c r="D55" t="s">
        <v>53</v>
      </c>
      <c r="E55" t="s">
        <v>91</v>
      </c>
      <c r="F55">
        <v>1</v>
      </c>
      <c r="G55">
        <v>0.38</v>
      </c>
      <c r="H55">
        <v>0.6</v>
      </c>
      <c r="I55">
        <f t="shared" si="69"/>
        <v>0.22799999999999998</v>
      </c>
      <c r="J55">
        <v>0.22</v>
      </c>
      <c r="K55">
        <v>0.6</v>
      </c>
      <c r="L55">
        <f t="shared" si="70"/>
        <v>0.13200000000000001</v>
      </c>
      <c r="M55">
        <v>0.45</v>
      </c>
      <c r="N55" s="1">
        <f t="shared" si="71"/>
        <v>28.431706947347106</v>
      </c>
      <c r="O55" s="1">
        <f t="shared" si="72"/>
        <v>16.68778316806619</v>
      </c>
      <c r="P55" s="1">
        <f t="shared" si="73"/>
        <v>22.55974505770665</v>
      </c>
      <c r="Q55">
        <v>30</v>
      </c>
      <c r="S55">
        <f t="shared" si="42"/>
        <v>1</v>
      </c>
      <c r="T55" s="1">
        <f t="shared" si="43"/>
        <v>0.63451833476062325</v>
      </c>
      <c r="U55" s="1">
        <f t="shared" si="44"/>
        <v>0.63768067236072101</v>
      </c>
      <c r="V55" s="1">
        <f t="shared" si="45"/>
        <v>1</v>
      </c>
      <c r="W55" s="1">
        <f t="shared" si="46"/>
        <v>0.63768067236072101</v>
      </c>
      <c r="X55" s="1">
        <f t="shared" si="47"/>
        <v>0.71296586476669099</v>
      </c>
      <c r="Y55">
        <v>0.97</v>
      </c>
      <c r="Z55" s="1">
        <f t="shared" si="48"/>
        <v>19.966431048561397</v>
      </c>
      <c r="AA55" s="1">
        <f t="shared" si="49"/>
        <v>0.35784703266519102</v>
      </c>
      <c r="AB55" s="1">
        <f t="shared" si="50"/>
        <v>0.60918072361882025</v>
      </c>
      <c r="AD55" s="1">
        <v>30</v>
      </c>
      <c r="AE55" s="1">
        <v>0.35</v>
      </c>
      <c r="AF55" s="1">
        <f t="shared" si="68"/>
        <v>10.5</v>
      </c>
      <c r="AG55" s="1">
        <f t="shared" si="30"/>
        <v>0.20588235294117646</v>
      </c>
      <c r="AH55" s="1">
        <v>0.72</v>
      </c>
      <c r="AI55" s="10">
        <v>0.96</v>
      </c>
      <c r="AJ55" s="1">
        <v>1.5</v>
      </c>
      <c r="AK55" s="1"/>
      <c r="AL55" s="1"/>
      <c r="AN55" s="1">
        <f t="shared" si="51"/>
        <v>0.35</v>
      </c>
      <c r="AO55" s="1">
        <f t="shared" si="52"/>
        <v>0.72568362805033981</v>
      </c>
      <c r="AP55" s="1">
        <f t="shared" si="53"/>
        <v>0.72568362805033981</v>
      </c>
      <c r="AQ55" s="1">
        <f t="shared" si="54"/>
        <v>0.72</v>
      </c>
      <c r="AR55" s="1">
        <f t="shared" si="55"/>
        <v>0.90909090909090906</v>
      </c>
      <c r="AS55" s="1">
        <f t="shared" si="56"/>
        <v>0.83784007306318942</v>
      </c>
      <c r="AT55" s="1">
        <f t="shared" si="57"/>
        <v>0.76311880608081939</v>
      </c>
      <c r="AU55" s="11">
        <f t="shared" si="58"/>
        <v>0.4648772664954437</v>
      </c>
      <c r="AW55" s="1">
        <v>48</v>
      </c>
      <c r="AX55" s="12">
        <v>15</v>
      </c>
      <c r="AZ55" s="11">
        <f t="shared" si="59"/>
        <v>0.7384615384615385</v>
      </c>
      <c r="BA55" s="11">
        <f t="shared" si="60"/>
        <v>0.7384615384615385</v>
      </c>
      <c r="BB55" s="11">
        <f t="shared" si="61"/>
        <v>3.3742331288343558E-2</v>
      </c>
      <c r="BC55" s="11">
        <f t="shared" si="62"/>
        <v>3.3742331288343558E-2</v>
      </c>
      <c r="BD55" s="11">
        <f t="shared" si="63"/>
        <v>0.74220764493282787</v>
      </c>
      <c r="BF55" s="11">
        <f>AU55
 * (1 - $BF$135 * POWER(1 - BA55, $BF$136))
 * (1 - $BF$137 * POWER(1 - BD55, $BF$138))</f>
        <v>0.40594823479392012</v>
      </c>
      <c r="BG55" s="11">
        <f t="shared" si="65"/>
        <v>0.55676957584083897</v>
      </c>
      <c r="BI55" s="11">
        <v>0.55676957584083897</v>
      </c>
      <c r="BJ55" s="11">
        <v>1</v>
      </c>
      <c r="BK55" s="11">
        <v>0.15123789825983283</v>
      </c>
      <c r="BM55" s="11">
        <f t="shared" si="34"/>
        <v>0.45915653110340293</v>
      </c>
      <c r="BN55" s="11">
        <f t="shared" si="31"/>
        <v>0.61428717955910928</v>
      </c>
      <c r="BP55" s="11">
        <f t="shared" si="66"/>
        <v>0.73810528646465068</v>
      </c>
      <c r="BQ55" s="11">
        <f t="shared" si="67"/>
        <v>0.97622408541877492</v>
      </c>
    </row>
    <row r="56" spans="1:69" x14ac:dyDescent="0.35">
      <c r="A56" t="s">
        <v>103</v>
      </c>
      <c r="B56" t="s">
        <v>105</v>
      </c>
      <c r="C56">
        <v>25</v>
      </c>
      <c r="D56" t="s">
        <v>53</v>
      </c>
      <c r="E56" t="s">
        <v>92</v>
      </c>
      <c r="F56">
        <v>1</v>
      </c>
      <c r="G56">
        <v>0.38</v>
      </c>
      <c r="H56">
        <v>0.6</v>
      </c>
      <c r="I56">
        <f t="shared" si="69"/>
        <v>0.22799999999999998</v>
      </c>
      <c r="J56">
        <v>0.22</v>
      </c>
      <c r="K56">
        <v>0.6</v>
      </c>
      <c r="L56">
        <f t="shared" si="70"/>
        <v>0.13200000000000001</v>
      </c>
      <c r="M56">
        <v>0.45</v>
      </c>
      <c r="N56" s="1">
        <f t="shared" si="71"/>
        <v>28.431706947347106</v>
      </c>
      <c r="O56" s="1">
        <f t="shared" si="72"/>
        <v>16.68778316806619</v>
      </c>
      <c r="P56" s="1">
        <f t="shared" si="73"/>
        <v>22.55974505770665</v>
      </c>
      <c r="Q56">
        <v>25</v>
      </c>
      <c r="S56">
        <f t="shared" si="42"/>
        <v>1</v>
      </c>
      <c r="T56" s="1">
        <f t="shared" si="43"/>
        <v>0.63451833476062325</v>
      </c>
      <c r="U56" s="1">
        <f t="shared" si="44"/>
        <v>0.63768067236072101</v>
      </c>
      <c r="V56" s="1">
        <f t="shared" si="45"/>
        <v>1</v>
      </c>
      <c r="W56" s="1">
        <f t="shared" si="46"/>
        <v>0.63768067236072101</v>
      </c>
      <c r="X56" s="1">
        <f t="shared" si="47"/>
        <v>0.71296586476669099</v>
      </c>
      <c r="Y56">
        <v>0.96499999999999997</v>
      </c>
      <c r="Z56" s="1">
        <f t="shared" si="48"/>
        <v>16.846376253405058</v>
      </c>
      <c r="AA56" s="1">
        <f t="shared" si="49"/>
        <v>0.30192805808811252</v>
      </c>
      <c r="AB56" s="1">
        <f t="shared" si="50"/>
        <v>0.56915240302011183</v>
      </c>
      <c r="AD56" s="1">
        <v>25</v>
      </c>
      <c r="AE56" s="1">
        <v>0.4</v>
      </c>
      <c r="AF56" s="1">
        <f t="shared" si="68"/>
        <v>10</v>
      </c>
      <c r="AG56" s="1">
        <f t="shared" si="30"/>
        <v>0.19607843137254902</v>
      </c>
      <c r="AH56" s="1">
        <v>0.72</v>
      </c>
      <c r="AI56" s="10">
        <v>0.96</v>
      </c>
      <c r="AJ56" s="1">
        <v>1.5</v>
      </c>
      <c r="AK56" s="1"/>
      <c r="AL56" s="1"/>
      <c r="AN56" s="1">
        <f t="shared" si="51"/>
        <v>0.4</v>
      </c>
      <c r="AO56" s="1">
        <f t="shared" si="52"/>
        <v>0.75505050941969187</v>
      </c>
      <c r="AP56" s="1">
        <f t="shared" si="53"/>
        <v>0.75505050941969187</v>
      </c>
      <c r="AQ56" s="1">
        <f t="shared" si="54"/>
        <v>0.72</v>
      </c>
      <c r="AR56" s="1">
        <f t="shared" si="55"/>
        <v>0.90909090909090906</v>
      </c>
      <c r="AS56" s="1">
        <f t="shared" si="56"/>
        <v>0.83784007306318942</v>
      </c>
      <c r="AT56" s="1">
        <f t="shared" si="57"/>
        <v>0.78305235158879283</v>
      </c>
      <c r="AU56" s="11">
        <f t="shared" si="58"/>
        <v>0.4456761275973109</v>
      </c>
      <c r="AW56" s="1">
        <v>48</v>
      </c>
      <c r="AX56" s="12">
        <v>15</v>
      </c>
      <c r="AZ56" s="11">
        <f t="shared" si="59"/>
        <v>0.7384615384615385</v>
      </c>
      <c r="BA56" s="11">
        <f t="shared" si="60"/>
        <v>0.7384615384615385</v>
      </c>
      <c r="BB56" s="11">
        <f t="shared" si="61"/>
        <v>3.3742331288343558E-2</v>
      </c>
      <c r="BC56" s="11">
        <f t="shared" si="62"/>
        <v>3.3742331288343558E-2</v>
      </c>
      <c r="BD56" s="11">
        <f t="shared" si="63"/>
        <v>0.74220764493282787</v>
      </c>
      <c r="BF56" s="11">
        <f t="shared" si="64"/>
        <v>0.38918108138912727</v>
      </c>
      <c r="BG56" s="11">
        <f t="shared" si="65"/>
        <v>0.53377294698744859</v>
      </c>
      <c r="BI56" s="11">
        <v>0.53377294698744859</v>
      </c>
      <c r="BJ56" s="11">
        <v>1</v>
      </c>
      <c r="BK56" s="11">
        <v>0.15123789825983283</v>
      </c>
      <c r="BM56" s="11">
        <f t="shared" si="34"/>
        <v>0.44650838523403824</v>
      </c>
      <c r="BN56" s="11">
        <f t="shared" si="31"/>
        <v>0.60968785378843116</v>
      </c>
      <c r="BP56" s="11">
        <f t="shared" si="66"/>
        <v>0.71777308448612387</v>
      </c>
      <c r="BQ56" s="11">
        <f t="shared" si="67"/>
        <v>0.96891484514251547</v>
      </c>
    </row>
    <row r="57" spans="1:69" x14ac:dyDescent="0.35">
      <c r="A57" t="s">
        <v>103</v>
      </c>
      <c r="B57" t="s">
        <v>105</v>
      </c>
      <c r="C57">
        <v>20</v>
      </c>
      <c r="D57" t="s">
        <v>53</v>
      </c>
      <c r="E57" t="s">
        <v>55</v>
      </c>
      <c r="F57">
        <v>1</v>
      </c>
      <c r="G57">
        <v>0.38</v>
      </c>
      <c r="H57">
        <v>0.6</v>
      </c>
      <c r="I57">
        <f t="shared" si="69"/>
        <v>0.22799999999999998</v>
      </c>
      <c r="J57">
        <v>0.22</v>
      </c>
      <c r="K57">
        <v>0.6</v>
      </c>
      <c r="L57">
        <f t="shared" si="70"/>
        <v>0.13200000000000001</v>
      </c>
      <c r="M57">
        <v>0.45</v>
      </c>
      <c r="N57" s="1">
        <f t="shared" si="71"/>
        <v>28.431706947347106</v>
      </c>
      <c r="O57" s="1">
        <f t="shared" si="72"/>
        <v>16.68778316806619</v>
      </c>
      <c r="P57" s="1">
        <f t="shared" si="73"/>
        <v>22.55974505770665</v>
      </c>
      <c r="Q57">
        <v>20</v>
      </c>
      <c r="S57">
        <f t="shared" si="42"/>
        <v>1</v>
      </c>
      <c r="T57" s="1">
        <f t="shared" si="43"/>
        <v>0.63451833476062325</v>
      </c>
      <c r="U57" s="1">
        <f t="shared" si="44"/>
        <v>0.63768067236072101</v>
      </c>
      <c r="V57" s="1">
        <f t="shared" si="45"/>
        <v>1</v>
      </c>
      <c r="W57" s="1">
        <f t="shared" si="46"/>
        <v>0.63768067236072101</v>
      </c>
      <c r="X57" s="1">
        <f t="shared" si="47"/>
        <v>0.71296586476669099</v>
      </c>
      <c r="Y57">
        <v>0.96</v>
      </c>
      <c r="Z57" s="1">
        <f t="shared" si="48"/>
        <v>13.949939153014794</v>
      </c>
      <c r="AA57" s="1">
        <f t="shared" si="49"/>
        <v>0.25001685677451041</v>
      </c>
      <c r="AB57" s="1">
        <f t="shared" si="50"/>
        <v>0.52778239636420721</v>
      </c>
      <c r="AD57" s="1">
        <v>20</v>
      </c>
      <c r="AE57" s="1">
        <v>0.45</v>
      </c>
      <c r="AF57" s="1">
        <f t="shared" si="68"/>
        <v>9</v>
      </c>
      <c r="AG57" s="1">
        <f t="shared" si="30"/>
        <v>0.17647058823529413</v>
      </c>
      <c r="AH57" s="1">
        <v>0.72</v>
      </c>
      <c r="AI57" s="10">
        <v>0.96</v>
      </c>
      <c r="AJ57" s="1">
        <v>1.5</v>
      </c>
      <c r="AK57" s="1"/>
      <c r="AL57" s="1"/>
      <c r="AN57" s="1">
        <f t="shared" si="51"/>
        <v>0.45</v>
      </c>
      <c r="AO57" s="1">
        <f t="shared" si="52"/>
        <v>0.7812039410629994</v>
      </c>
      <c r="AP57" s="1">
        <f t="shared" si="53"/>
        <v>0.7812039410629994</v>
      </c>
      <c r="AQ57" s="1">
        <f t="shared" si="54"/>
        <v>0.72</v>
      </c>
      <c r="AR57" s="1">
        <f t="shared" si="55"/>
        <v>0.90909090909090906</v>
      </c>
      <c r="AS57" s="1">
        <f t="shared" si="56"/>
        <v>0.83784007306318942</v>
      </c>
      <c r="AT57" s="1">
        <f t="shared" si="57"/>
        <v>0.80057729970381997</v>
      </c>
      <c r="AU57" s="11">
        <f t="shared" si="58"/>
        <v>0.4225306057124682</v>
      </c>
      <c r="AW57" s="1">
        <v>48</v>
      </c>
      <c r="AX57" s="12">
        <v>15</v>
      </c>
      <c r="AZ57" s="11">
        <f t="shared" si="59"/>
        <v>0.7384615384615385</v>
      </c>
      <c r="BA57" s="11">
        <f t="shared" si="60"/>
        <v>0.7384615384615385</v>
      </c>
      <c r="BB57" s="11">
        <f t="shared" si="61"/>
        <v>3.3742331288343558E-2</v>
      </c>
      <c r="BC57" s="11">
        <f t="shared" si="62"/>
        <v>3.3742331288343558E-2</v>
      </c>
      <c r="BD57" s="11">
        <f t="shared" si="63"/>
        <v>0.74220764493282787</v>
      </c>
      <c r="BF57" s="11">
        <f t="shared" si="64"/>
        <v>0.36896954507682611</v>
      </c>
      <c r="BG57" s="11">
        <f t="shared" si="65"/>
        <v>0.50605224879201405</v>
      </c>
      <c r="BI57" s="11">
        <v>0.50605224879201405</v>
      </c>
      <c r="BJ57" s="11">
        <v>1</v>
      </c>
      <c r="BK57" s="11">
        <v>0.15123789825983283</v>
      </c>
      <c r="BM57" s="11">
        <f t="shared" si="34"/>
        <v>0.43126200122654923</v>
      </c>
      <c r="BN57" s="11">
        <f t="shared" si="31"/>
        <v>0.60414371414934431</v>
      </c>
      <c r="BP57" s="11">
        <f t="shared" si="66"/>
        <v>0.69326415153388099</v>
      </c>
      <c r="BQ57" s="11">
        <f t="shared" si="67"/>
        <v>0.96010410835897053</v>
      </c>
    </row>
    <row r="58" spans="1:69" x14ac:dyDescent="0.35">
      <c r="A58" t="s">
        <v>103</v>
      </c>
      <c r="B58" t="s">
        <v>105</v>
      </c>
      <c r="C58">
        <v>15</v>
      </c>
      <c r="D58" t="s">
        <v>53</v>
      </c>
      <c r="E58" t="s">
        <v>93</v>
      </c>
      <c r="F58">
        <v>1</v>
      </c>
      <c r="G58">
        <v>0.38</v>
      </c>
      <c r="H58">
        <v>0.6</v>
      </c>
      <c r="I58">
        <f t="shared" si="69"/>
        <v>0.22799999999999998</v>
      </c>
      <c r="J58">
        <v>0.22</v>
      </c>
      <c r="K58">
        <v>0.6</v>
      </c>
      <c r="L58">
        <f t="shared" si="70"/>
        <v>0.13200000000000001</v>
      </c>
      <c r="M58">
        <v>0.45</v>
      </c>
      <c r="N58" s="1">
        <f t="shared" si="71"/>
        <v>28.431706947347106</v>
      </c>
      <c r="O58" s="1">
        <f t="shared" si="72"/>
        <v>16.68778316806619</v>
      </c>
      <c r="P58" s="1">
        <f t="shared" si="73"/>
        <v>22.55974505770665</v>
      </c>
      <c r="Q58">
        <v>15</v>
      </c>
      <c r="S58">
        <f t="shared" si="42"/>
        <v>1</v>
      </c>
      <c r="T58" s="1">
        <f t="shared" si="43"/>
        <v>0.63451833476062325</v>
      </c>
      <c r="U58" s="1">
        <f t="shared" si="44"/>
        <v>0.63768067236072101</v>
      </c>
      <c r="V58" s="1">
        <f t="shared" si="45"/>
        <v>1</v>
      </c>
      <c r="W58" s="1">
        <f t="shared" si="46"/>
        <v>0.63768067236072101</v>
      </c>
      <c r="X58" s="1">
        <f t="shared" si="47"/>
        <v>0.71296586476669099</v>
      </c>
      <c r="Y58">
        <v>0.95</v>
      </c>
      <c r="Z58" s="1">
        <f t="shared" si="48"/>
        <v>10.734175396804924</v>
      </c>
      <c r="AA58" s="1">
        <f t="shared" si="49"/>
        <v>0.19238254470776356</v>
      </c>
      <c r="AB58" s="1">
        <f t="shared" si="50"/>
        <v>0.4752623929108733</v>
      </c>
      <c r="AD58" s="1">
        <v>15</v>
      </c>
      <c r="AE58" s="1">
        <v>0.5</v>
      </c>
      <c r="AF58" s="1">
        <f t="shared" si="68"/>
        <v>7.5</v>
      </c>
      <c r="AG58" s="1">
        <f t="shared" si="30"/>
        <v>0.14705882352941177</v>
      </c>
      <c r="AH58" s="1">
        <v>0.72</v>
      </c>
      <c r="AI58" s="10">
        <v>0.96</v>
      </c>
      <c r="AJ58" s="1">
        <v>1.5</v>
      </c>
      <c r="AK58" s="1"/>
      <c r="AL58" s="1"/>
      <c r="AN58" s="1">
        <f t="shared" si="51"/>
        <v>0.5</v>
      </c>
      <c r="AO58" s="1">
        <f t="shared" si="52"/>
        <v>0.7991853982298075</v>
      </c>
      <c r="AP58" s="1">
        <f t="shared" si="53"/>
        <v>0.7991853982298075</v>
      </c>
      <c r="AQ58" s="1">
        <f t="shared" si="54"/>
        <v>0.72</v>
      </c>
      <c r="AR58" s="1">
        <f t="shared" si="55"/>
        <v>0.90909090909090906</v>
      </c>
      <c r="AS58" s="1">
        <f t="shared" si="56"/>
        <v>0.83784007306318942</v>
      </c>
      <c r="AT58" s="1">
        <f t="shared" si="57"/>
        <v>0.81250734598792429</v>
      </c>
      <c r="AU58" s="11">
        <f t="shared" si="58"/>
        <v>0.38615418551188374</v>
      </c>
      <c r="AW58" s="1">
        <v>48</v>
      </c>
      <c r="AX58" s="12">
        <v>15</v>
      </c>
      <c r="AZ58" s="11">
        <f t="shared" si="59"/>
        <v>0.7384615384615385</v>
      </c>
      <c r="BA58" s="11">
        <f t="shared" si="60"/>
        <v>0.7384615384615385</v>
      </c>
      <c r="BB58" s="11">
        <f t="shared" si="61"/>
        <v>3.3742331288343558E-2</v>
      </c>
      <c r="BC58" s="11">
        <f t="shared" si="62"/>
        <v>3.3742331288343558E-2</v>
      </c>
      <c r="BD58" s="11">
        <f t="shared" si="63"/>
        <v>0.74220764493282787</v>
      </c>
      <c r="BF58" s="11">
        <f t="shared" si="64"/>
        <v>0.33720429297088367</v>
      </c>
      <c r="BG58" s="11">
        <f t="shared" si="65"/>
        <v>0.46248530003934574</v>
      </c>
      <c r="BI58" s="11">
        <v>0.46248530003934574</v>
      </c>
      <c r="BJ58" s="11">
        <v>1</v>
      </c>
      <c r="BK58" s="11">
        <v>0.15123789825983283</v>
      </c>
      <c r="BM58" s="11">
        <f t="shared" si="34"/>
        <v>0.40730017941258168</v>
      </c>
      <c r="BN58" s="11">
        <f t="shared" si="31"/>
        <v>0.59543032439881061</v>
      </c>
      <c r="BP58" s="11">
        <f t="shared" si="66"/>
        <v>0.65474494042364972</v>
      </c>
      <c r="BQ58" s="11">
        <f t="shared" si="67"/>
        <v>0.94625680497520581</v>
      </c>
    </row>
    <row r="59" spans="1:69" x14ac:dyDescent="0.35">
      <c r="A59" t="s">
        <v>103</v>
      </c>
      <c r="B59" t="s">
        <v>105</v>
      </c>
      <c r="C59">
        <v>10</v>
      </c>
      <c r="D59" t="s">
        <v>53</v>
      </c>
      <c r="E59" t="s">
        <v>94</v>
      </c>
      <c r="F59">
        <v>1</v>
      </c>
      <c r="G59">
        <v>0.38</v>
      </c>
      <c r="H59">
        <v>0.6</v>
      </c>
      <c r="I59">
        <f t="shared" si="69"/>
        <v>0.22799999999999998</v>
      </c>
      <c r="J59">
        <v>0.22</v>
      </c>
      <c r="K59">
        <v>0.6</v>
      </c>
      <c r="L59">
        <f t="shared" si="70"/>
        <v>0.13200000000000001</v>
      </c>
      <c r="M59">
        <v>0.45</v>
      </c>
      <c r="N59" s="1">
        <f t="shared" si="71"/>
        <v>28.431706947347106</v>
      </c>
      <c r="O59" s="1">
        <f t="shared" si="72"/>
        <v>16.68778316806619</v>
      </c>
      <c r="P59" s="1">
        <f t="shared" si="73"/>
        <v>22.55974505770665</v>
      </c>
      <c r="Q59">
        <v>10</v>
      </c>
      <c r="S59">
        <f t="shared" si="42"/>
        <v>1</v>
      </c>
      <c r="T59" s="1">
        <f t="shared" si="43"/>
        <v>0.63451833476062325</v>
      </c>
      <c r="U59" s="1">
        <f t="shared" si="44"/>
        <v>0.63768067236072101</v>
      </c>
      <c r="V59" s="1">
        <f t="shared" si="45"/>
        <v>1</v>
      </c>
      <c r="W59" s="1">
        <f t="shared" si="46"/>
        <v>0.63768067236072101</v>
      </c>
      <c r="X59" s="1">
        <f t="shared" si="47"/>
        <v>0.71296586476669099</v>
      </c>
      <c r="Y59">
        <v>0.9</v>
      </c>
      <c r="Z59" s="1">
        <f t="shared" si="48"/>
        <v>6.5132155989999996</v>
      </c>
      <c r="AA59" s="1">
        <f t="shared" si="49"/>
        <v>0.11673267343282748</v>
      </c>
      <c r="AB59" s="1">
        <f t="shared" si="50"/>
        <v>0.38917430373013301</v>
      </c>
      <c r="AD59" s="1">
        <v>10</v>
      </c>
      <c r="AE59" s="1">
        <v>0.55000000000000004</v>
      </c>
      <c r="AF59" s="1">
        <f t="shared" si="68"/>
        <v>5.5</v>
      </c>
      <c r="AG59" s="1">
        <f t="shared" si="30"/>
        <v>0.10784313725490197</v>
      </c>
      <c r="AH59" s="1">
        <v>0.72</v>
      </c>
      <c r="AI59" s="10">
        <v>0.96</v>
      </c>
      <c r="AJ59" s="1">
        <v>1.5</v>
      </c>
      <c r="AK59" s="1"/>
      <c r="AL59" s="1"/>
      <c r="AN59" s="1">
        <f t="shared" si="51"/>
        <v>0.55000000000000004</v>
      </c>
      <c r="AO59" s="1">
        <f t="shared" si="52"/>
        <v>0.81688623207054278</v>
      </c>
      <c r="AP59" s="1">
        <f t="shared" si="53"/>
        <v>0.81688623207054278</v>
      </c>
      <c r="AQ59" s="1">
        <f t="shared" si="54"/>
        <v>0.72</v>
      </c>
      <c r="AR59" s="1">
        <f t="shared" si="55"/>
        <v>0.90909090909090906</v>
      </c>
      <c r="AS59" s="1">
        <f t="shared" si="56"/>
        <v>0.83784007306318942</v>
      </c>
      <c r="AT59" s="1">
        <f t="shared" si="57"/>
        <v>0.82415978574542026</v>
      </c>
      <c r="AU59" s="11">
        <f t="shared" si="58"/>
        <v>0.32074181077984953</v>
      </c>
      <c r="AW59" s="1">
        <v>48</v>
      </c>
      <c r="AX59" s="12">
        <v>15</v>
      </c>
      <c r="AZ59" s="11">
        <f t="shared" si="59"/>
        <v>0.7384615384615385</v>
      </c>
      <c r="BA59" s="11">
        <f t="shared" si="60"/>
        <v>0.7384615384615385</v>
      </c>
      <c r="BB59" s="11">
        <f t="shared" si="61"/>
        <v>3.3742331288343558E-2</v>
      </c>
      <c r="BC59" s="11">
        <f t="shared" si="62"/>
        <v>3.3742331288343558E-2</v>
      </c>
      <c r="BD59" s="11">
        <f t="shared" si="63"/>
        <v>0.74220764493282787</v>
      </c>
      <c r="BF59" s="11">
        <f t="shared" si="64"/>
        <v>0.28008375821914189</v>
      </c>
      <c r="BG59" s="11">
        <f t="shared" si="65"/>
        <v>0.38414285836898354</v>
      </c>
      <c r="BI59" s="11">
        <v>0.38414285836898354</v>
      </c>
      <c r="BJ59" s="11">
        <v>1</v>
      </c>
      <c r="BK59" s="11">
        <v>0.15123789825983283</v>
      </c>
      <c r="BM59" s="11">
        <f t="shared" si="34"/>
        <v>0.36421183649388245</v>
      </c>
      <c r="BN59" s="11">
        <f t="shared" si="31"/>
        <v>0.57976183606473819</v>
      </c>
      <c r="BP59" s="11">
        <f t="shared" si="66"/>
        <v>0.58547938164598012</v>
      </c>
      <c r="BQ59" s="11">
        <f t="shared" si="67"/>
        <v>0.92135647138074128</v>
      </c>
    </row>
    <row r="60" spans="1:69" x14ac:dyDescent="0.35">
      <c r="A60" t="s">
        <v>103</v>
      </c>
      <c r="B60" t="s">
        <v>106</v>
      </c>
      <c r="C60">
        <v>30</v>
      </c>
      <c r="D60" t="s">
        <v>53</v>
      </c>
      <c r="E60" t="s">
        <v>91</v>
      </c>
      <c r="F60">
        <v>1</v>
      </c>
      <c r="G60">
        <v>0.38</v>
      </c>
      <c r="H60">
        <v>0.6</v>
      </c>
      <c r="I60">
        <f t="shared" si="69"/>
        <v>0.22799999999999998</v>
      </c>
      <c r="J60">
        <v>0.22</v>
      </c>
      <c r="K60">
        <v>0.6</v>
      </c>
      <c r="L60">
        <f t="shared" si="70"/>
        <v>0.13200000000000001</v>
      </c>
      <c r="M60">
        <v>0.5</v>
      </c>
      <c r="N60" s="1">
        <f t="shared" si="71"/>
        <v>25.687765693764046</v>
      </c>
      <c r="O60" s="1">
        <f t="shared" si="72"/>
        <v>15.039140650378954</v>
      </c>
      <c r="P60" s="1">
        <f t="shared" si="73"/>
        <v>20.363453172071502</v>
      </c>
      <c r="Q60">
        <v>30</v>
      </c>
      <c r="S60">
        <f t="shared" si="42"/>
        <v>1</v>
      </c>
      <c r="T60" s="1">
        <f t="shared" si="43"/>
        <v>0.57274514245030417</v>
      </c>
      <c r="U60" s="1">
        <f t="shared" si="44"/>
        <v>0.60004059629641748</v>
      </c>
      <c r="V60" s="1">
        <f t="shared" si="45"/>
        <v>1</v>
      </c>
      <c r="W60" s="1">
        <f t="shared" si="46"/>
        <v>0.60004059629641748</v>
      </c>
      <c r="X60" s="1">
        <f t="shared" si="47"/>
        <v>0.67088196518459786</v>
      </c>
      <c r="Y60">
        <v>0.97</v>
      </c>
      <c r="Z60" s="1">
        <f t="shared" si="48"/>
        <v>19.966431048561397</v>
      </c>
      <c r="AA60" s="1">
        <f t="shared" si="49"/>
        <v>0.35784703266519102</v>
      </c>
      <c r="AB60" s="1">
        <f t="shared" si="50"/>
        <v>0.59998514443026507</v>
      </c>
      <c r="AD60" s="1">
        <v>30</v>
      </c>
      <c r="AE60" s="1">
        <v>0.8</v>
      </c>
      <c r="AF60" s="1">
        <f t="shared" si="68"/>
        <v>24</v>
      </c>
      <c r="AG60" s="1">
        <f t="shared" si="30"/>
        <v>0.47058823529411764</v>
      </c>
      <c r="AH60" s="1">
        <v>0.72</v>
      </c>
      <c r="AI60" s="10">
        <v>0.96</v>
      </c>
      <c r="AJ60" s="1">
        <v>1.5</v>
      </c>
      <c r="AK60" s="1"/>
      <c r="AL60" s="1"/>
      <c r="AN60" s="1">
        <f t="shared" si="51"/>
        <v>0.8</v>
      </c>
      <c r="AO60" s="1">
        <f t="shared" si="52"/>
        <v>0.918403174696378</v>
      </c>
      <c r="AP60" s="1">
        <f t="shared" si="53"/>
        <v>0.918403174696378</v>
      </c>
      <c r="AQ60" s="1">
        <f t="shared" si="54"/>
        <v>0.72</v>
      </c>
      <c r="AR60" s="1">
        <f t="shared" si="55"/>
        <v>0.90909090909090906</v>
      </c>
      <c r="AS60" s="1">
        <f t="shared" si="56"/>
        <v>0.83784007306318942</v>
      </c>
      <c r="AT60" s="1">
        <f t="shared" si="57"/>
        <v>0.88936101753696917</v>
      </c>
      <c r="AU60" s="11">
        <f t="shared" si="58"/>
        <v>0.533603398557566</v>
      </c>
      <c r="AW60" s="1">
        <v>48</v>
      </c>
      <c r="AX60" s="12">
        <v>15</v>
      </c>
      <c r="AZ60" s="11">
        <f t="shared" si="59"/>
        <v>0.7384615384615385</v>
      </c>
      <c r="BA60" s="11">
        <f t="shared" si="60"/>
        <v>0.7384615384615385</v>
      </c>
      <c r="BB60" s="11">
        <f t="shared" si="61"/>
        <v>3.3742331288343558E-2</v>
      </c>
      <c r="BC60" s="11">
        <f t="shared" si="62"/>
        <v>3.3742331288343558E-2</v>
      </c>
      <c r="BD60" s="11">
        <f t="shared" si="63"/>
        <v>0.74220764493282787</v>
      </c>
      <c r="BF60" s="11">
        <f t="shared" si="64"/>
        <v>0.46596246651825385</v>
      </c>
      <c r="BG60" s="11">
        <f t="shared" si="65"/>
        <v>0.63908080539584322</v>
      </c>
      <c r="BI60" s="11">
        <v>0.63908080539584322</v>
      </c>
      <c r="BJ60" s="11">
        <v>1</v>
      </c>
      <c r="BK60" s="11">
        <v>0.14694848072384611</v>
      </c>
      <c r="BM60" s="11">
        <f t="shared" si="34"/>
        <v>0.50292641122105997</v>
      </c>
      <c r="BN60" s="11">
        <f t="shared" si="31"/>
        <v>0.62924812933251484</v>
      </c>
      <c r="BP60" s="11">
        <f t="shared" si="66"/>
        <v>0.80846643285873543</v>
      </c>
      <c r="BQ60" s="11">
        <f t="shared" si="67"/>
        <v>1</v>
      </c>
    </row>
    <row r="61" spans="1:69" x14ac:dyDescent="0.35">
      <c r="A61" t="s">
        <v>103</v>
      </c>
      <c r="B61" t="s">
        <v>106</v>
      </c>
      <c r="C61">
        <v>25</v>
      </c>
      <c r="D61" t="s">
        <v>53</v>
      </c>
      <c r="E61" t="s">
        <v>92</v>
      </c>
      <c r="F61">
        <v>1</v>
      </c>
      <c r="G61">
        <v>0.38</v>
      </c>
      <c r="H61">
        <v>0.6</v>
      </c>
      <c r="I61">
        <f t="shared" si="69"/>
        <v>0.22799999999999998</v>
      </c>
      <c r="J61">
        <v>0.22</v>
      </c>
      <c r="K61">
        <v>0.6</v>
      </c>
      <c r="L61">
        <f t="shared" si="70"/>
        <v>0.13200000000000001</v>
      </c>
      <c r="M61">
        <v>0.5</v>
      </c>
      <c r="N61" s="1">
        <f t="shared" si="71"/>
        <v>25.687765693764046</v>
      </c>
      <c r="O61" s="1">
        <f t="shared" si="72"/>
        <v>15.039140650378954</v>
      </c>
      <c r="P61" s="1">
        <f t="shared" si="73"/>
        <v>20.363453172071502</v>
      </c>
      <c r="Q61">
        <v>25</v>
      </c>
      <c r="S61">
        <f t="shared" si="42"/>
        <v>1</v>
      </c>
      <c r="T61" s="1">
        <f t="shared" si="43"/>
        <v>0.57274514245030417</v>
      </c>
      <c r="U61" s="1">
        <f t="shared" si="44"/>
        <v>0.60004059629641748</v>
      </c>
      <c r="V61" s="1">
        <f t="shared" si="45"/>
        <v>1</v>
      </c>
      <c r="W61" s="1">
        <f t="shared" si="46"/>
        <v>0.60004059629641748</v>
      </c>
      <c r="X61" s="1">
        <f t="shared" si="47"/>
        <v>0.67088196518459786</v>
      </c>
      <c r="Y61">
        <v>0.96499999999999997</v>
      </c>
      <c r="Z61" s="1">
        <f t="shared" si="48"/>
        <v>16.846376253405058</v>
      </c>
      <c r="AA61" s="1">
        <f t="shared" si="49"/>
        <v>0.30192805808811252</v>
      </c>
      <c r="AB61" s="1">
        <f t="shared" si="50"/>
        <v>0.56056105107903698</v>
      </c>
      <c r="AD61" s="1">
        <v>25</v>
      </c>
      <c r="AE61" s="1">
        <v>0.85</v>
      </c>
      <c r="AF61" s="1">
        <f t="shared" si="68"/>
        <v>21.25</v>
      </c>
      <c r="AG61" s="1">
        <f t="shared" si="30"/>
        <v>0.41666666666666669</v>
      </c>
      <c r="AH61" s="1">
        <v>0.72</v>
      </c>
      <c r="AI61" s="10">
        <v>0.96</v>
      </c>
      <c r="AJ61" s="1">
        <v>1.5</v>
      </c>
      <c r="AK61" s="1"/>
      <c r="AL61" s="1"/>
      <c r="AN61" s="1">
        <f t="shared" si="51"/>
        <v>0.85</v>
      </c>
      <c r="AO61" s="1">
        <f t="shared" si="52"/>
        <v>0.92718497965221203</v>
      </c>
      <c r="AP61" s="1">
        <f t="shared" si="53"/>
        <v>0.92718497965221203</v>
      </c>
      <c r="AQ61" s="1">
        <f t="shared" si="54"/>
        <v>0.72</v>
      </c>
      <c r="AR61" s="1">
        <f t="shared" si="55"/>
        <v>0.90909090909090906</v>
      </c>
      <c r="AS61" s="1">
        <f t="shared" si="56"/>
        <v>0.83784007306318942</v>
      </c>
      <c r="AT61" s="1">
        <f t="shared" si="57"/>
        <v>0.89487947416604852</v>
      </c>
      <c r="AU61" s="11">
        <f t="shared" si="58"/>
        <v>0.5016345786275761</v>
      </c>
      <c r="AW61" s="1">
        <v>48</v>
      </c>
      <c r="AX61" s="12">
        <v>15</v>
      </c>
      <c r="AZ61" s="11">
        <f t="shared" si="59"/>
        <v>0.7384615384615385</v>
      </c>
      <c r="BA61" s="11">
        <f t="shared" si="60"/>
        <v>0.7384615384615385</v>
      </c>
      <c r="BB61" s="11">
        <f t="shared" si="61"/>
        <v>3.3742331288343558E-2</v>
      </c>
      <c r="BC61" s="11">
        <f t="shared" si="62"/>
        <v>3.3742331288343558E-2</v>
      </c>
      <c r="BD61" s="11">
        <f t="shared" si="63"/>
        <v>0.74220764493282787</v>
      </c>
      <c r="BF61" s="11">
        <f t="shared" si="64"/>
        <v>0.43804609599564553</v>
      </c>
      <c r="BG61" s="11">
        <f t="shared" si="65"/>
        <v>0.60079270744961433</v>
      </c>
      <c r="BI61" s="11">
        <v>0.60079270744961433</v>
      </c>
      <c r="BJ61" s="11">
        <v>1</v>
      </c>
      <c r="BK61" s="11">
        <v>0.14694848072384611</v>
      </c>
      <c r="BM61" s="11">
        <f t="shared" si="34"/>
        <v>0.48186795735063398</v>
      </c>
      <c r="BN61" s="11">
        <f t="shared" si="31"/>
        <v>0.62159050974326902</v>
      </c>
      <c r="BP61" s="11">
        <f t="shared" si="66"/>
        <v>0.77461445630254655</v>
      </c>
      <c r="BQ61" s="11">
        <f t="shared" si="67"/>
        <v>0.98783052466541499</v>
      </c>
    </row>
    <row r="62" spans="1:69" x14ac:dyDescent="0.35">
      <c r="A62" t="s">
        <v>103</v>
      </c>
      <c r="B62" t="s">
        <v>106</v>
      </c>
      <c r="C62">
        <v>20</v>
      </c>
      <c r="D62" t="s">
        <v>53</v>
      </c>
      <c r="E62" t="s">
        <v>55</v>
      </c>
      <c r="F62">
        <v>1</v>
      </c>
      <c r="G62">
        <v>0.38</v>
      </c>
      <c r="H62">
        <v>0.6</v>
      </c>
      <c r="I62">
        <f t="shared" si="69"/>
        <v>0.22799999999999998</v>
      </c>
      <c r="J62">
        <v>0.22</v>
      </c>
      <c r="K62">
        <v>0.6</v>
      </c>
      <c r="L62">
        <f t="shared" si="70"/>
        <v>0.13200000000000001</v>
      </c>
      <c r="M62">
        <v>0.5</v>
      </c>
      <c r="N62" s="1">
        <f t="shared" si="71"/>
        <v>25.687765693764046</v>
      </c>
      <c r="O62" s="1">
        <f t="shared" si="72"/>
        <v>15.039140650378954</v>
      </c>
      <c r="P62" s="1">
        <f t="shared" si="73"/>
        <v>20.363453172071502</v>
      </c>
      <c r="Q62">
        <v>20</v>
      </c>
      <c r="S62">
        <f t="shared" si="42"/>
        <v>1</v>
      </c>
      <c r="T62" s="1">
        <f t="shared" si="43"/>
        <v>0.57274514245030417</v>
      </c>
      <c r="U62" s="1">
        <f t="shared" si="44"/>
        <v>0.60004059629641748</v>
      </c>
      <c r="V62" s="1">
        <f t="shared" si="45"/>
        <v>1</v>
      </c>
      <c r="W62" s="1">
        <f t="shared" si="46"/>
        <v>0.60004059629641748</v>
      </c>
      <c r="X62" s="1">
        <f t="shared" si="47"/>
        <v>0.67088196518459786</v>
      </c>
      <c r="Y62">
        <v>0.96</v>
      </c>
      <c r="Z62" s="1">
        <f t="shared" si="48"/>
        <v>13.949939153014794</v>
      </c>
      <c r="AA62" s="1">
        <f t="shared" si="49"/>
        <v>0.25001685677451041</v>
      </c>
      <c r="AB62" s="1">
        <f t="shared" si="50"/>
        <v>0.51981552441320089</v>
      </c>
      <c r="AD62" s="1">
        <v>20</v>
      </c>
      <c r="AE62" s="1">
        <v>0.9</v>
      </c>
      <c r="AF62" s="1">
        <f t="shared" si="68"/>
        <v>18</v>
      </c>
      <c r="AG62" s="1">
        <f t="shared" si="30"/>
        <v>0.35294117647058826</v>
      </c>
      <c r="AH62" s="1">
        <v>0.72</v>
      </c>
      <c r="AI62" s="10">
        <v>0.96</v>
      </c>
      <c r="AJ62" s="1">
        <v>1.5</v>
      </c>
      <c r="AK62" s="1"/>
      <c r="AL62" s="1"/>
      <c r="AN62" s="1">
        <f t="shared" si="51"/>
        <v>0.9</v>
      </c>
      <c r="AO62" s="1">
        <f t="shared" si="52"/>
        <v>0.93537202041253831</v>
      </c>
      <c r="AP62" s="1">
        <f t="shared" si="53"/>
        <v>0.93537202041253831</v>
      </c>
      <c r="AQ62" s="1">
        <f t="shared" si="54"/>
        <v>0.72</v>
      </c>
      <c r="AR62" s="1">
        <f t="shared" si="55"/>
        <v>0.90909090909090906</v>
      </c>
      <c r="AS62" s="1">
        <f t="shared" si="56"/>
        <v>0.83784007306318942</v>
      </c>
      <c r="AT62" s="1">
        <f t="shared" si="57"/>
        <v>0.90000772799692863</v>
      </c>
      <c r="AU62" s="11">
        <f t="shared" si="58"/>
        <v>0.4678379891046569</v>
      </c>
      <c r="AW62" s="1">
        <v>48</v>
      </c>
      <c r="AX62" s="12">
        <v>15</v>
      </c>
      <c r="AZ62" s="11">
        <f t="shared" si="59"/>
        <v>0.7384615384615385</v>
      </c>
      <c r="BA62" s="11">
        <f t="shared" si="60"/>
        <v>0.7384615384615385</v>
      </c>
      <c r="BB62" s="11">
        <f t="shared" si="61"/>
        <v>3.3742331288343558E-2</v>
      </c>
      <c r="BC62" s="11">
        <f t="shared" si="62"/>
        <v>3.3742331288343558E-2</v>
      </c>
      <c r="BD62" s="11">
        <f t="shared" si="63"/>
        <v>0.74220764493282787</v>
      </c>
      <c r="BF62" s="11">
        <f t="shared" si="64"/>
        <v>0.40853364863010372</v>
      </c>
      <c r="BG62" s="11">
        <f t="shared" si="65"/>
        <v>0.56031554461608379</v>
      </c>
      <c r="BI62" s="11">
        <v>0.56031554461608379</v>
      </c>
      <c r="BJ62" s="11">
        <v>1</v>
      </c>
      <c r="BK62" s="11">
        <v>0.14694848072384611</v>
      </c>
      <c r="BM62" s="11">
        <f t="shared" si="34"/>
        <v>0.45960551779219222</v>
      </c>
      <c r="BN62" s="11">
        <f t="shared" si="31"/>
        <v>0.61349507717656293</v>
      </c>
      <c r="BP62" s="11">
        <f t="shared" si="66"/>
        <v>0.73882704348235273</v>
      </c>
      <c r="BQ62" s="11">
        <f t="shared" si="67"/>
        <v>0.97496527773127872</v>
      </c>
    </row>
    <row r="63" spans="1:69" x14ac:dyDescent="0.35">
      <c r="A63" t="s">
        <v>103</v>
      </c>
      <c r="B63" t="s">
        <v>106</v>
      </c>
      <c r="C63">
        <v>15</v>
      </c>
      <c r="D63" t="s">
        <v>53</v>
      </c>
      <c r="E63" t="s">
        <v>93</v>
      </c>
      <c r="F63">
        <v>1</v>
      </c>
      <c r="G63">
        <v>0.38</v>
      </c>
      <c r="H63">
        <v>0.6</v>
      </c>
      <c r="I63">
        <f t="shared" si="69"/>
        <v>0.22799999999999998</v>
      </c>
      <c r="J63">
        <v>0.22</v>
      </c>
      <c r="K63">
        <v>0.6</v>
      </c>
      <c r="L63">
        <f t="shared" si="70"/>
        <v>0.13200000000000001</v>
      </c>
      <c r="M63">
        <v>0.5</v>
      </c>
      <c r="N63" s="1">
        <f t="shared" si="71"/>
        <v>25.687765693764046</v>
      </c>
      <c r="O63" s="1">
        <f t="shared" si="72"/>
        <v>15.039140650378954</v>
      </c>
      <c r="P63" s="1">
        <f t="shared" si="73"/>
        <v>20.363453172071502</v>
      </c>
      <c r="Q63">
        <v>15</v>
      </c>
      <c r="S63">
        <f t="shared" si="42"/>
        <v>1</v>
      </c>
      <c r="T63" s="1">
        <f t="shared" si="43"/>
        <v>0.57274514245030417</v>
      </c>
      <c r="U63" s="1">
        <f t="shared" si="44"/>
        <v>0.60004059629641748</v>
      </c>
      <c r="V63" s="1">
        <f t="shared" si="45"/>
        <v>1</v>
      </c>
      <c r="W63" s="1">
        <f t="shared" si="46"/>
        <v>0.60004059629641748</v>
      </c>
      <c r="X63" s="1">
        <f t="shared" si="47"/>
        <v>0.67088196518459786</v>
      </c>
      <c r="Y63">
        <v>0.95</v>
      </c>
      <c r="Z63" s="1">
        <f t="shared" si="48"/>
        <v>10.734175396804924</v>
      </c>
      <c r="AA63" s="1">
        <f t="shared" si="49"/>
        <v>0.19238254470776356</v>
      </c>
      <c r="AB63" s="1">
        <f t="shared" si="50"/>
        <v>0.46808831008140939</v>
      </c>
      <c r="AD63" s="1">
        <v>15</v>
      </c>
      <c r="AE63" s="1">
        <v>0.93</v>
      </c>
      <c r="AF63" s="1">
        <f t="shared" si="68"/>
        <v>13.950000000000001</v>
      </c>
      <c r="AG63" s="1">
        <f>AF63/$AF$131</f>
        <v>0.27352941176470591</v>
      </c>
      <c r="AH63" s="1">
        <v>0.72</v>
      </c>
      <c r="AI63" s="10">
        <v>0.96</v>
      </c>
      <c r="AJ63" s="1">
        <v>1.5</v>
      </c>
      <c r="AK63" s="1"/>
      <c r="AL63" s="1"/>
      <c r="AN63" s="1">
        <f t="shared" si="51"/>
        <v>0.93</v>
      </c>
      <c r="AO63" s="1">
        <f t="shared" si="52"/>
        <v>0.93957322487701733</v>
      </c>
      <c r="AP63" s="1">
        <f t="shared" si="53"/>
        <v>0.93957322487701733</v>
      </c>
      <c r="AQ63" s="1">
        <f t="shared" si="54"/>
        <v>0.72</v>
      </c>
      <c r="AR63" s="1">
        <f t="shared" si="55"/>
        <v>0.90909090909090906</v>
      </c>
      <c r="AS63" s="1">
        <f t="shared" si="56"/>
        <v>0.83784007306318942</v>
      </c>
      <c r="AT63" s="1">
        <f t="shared" si="57"/>
        <v>0.90263320509203215</v>
      </c>
      <c r="AU63" s="11">
        <f t="shared" si="58"/>
        <v>0.42251205159489552</v>
      </c>
      <c r="AW63" s="1">
        <v>48</v>
      </c>
      <c r="AX63" s="12">
        <v>15</v>
      </c>
      <c r="AZ63" s="11">
        <f t="shared" si="59"/>
        <v>0.7384615384615385</v>
      </c>
      <c r="BA63" s="11">
        <f t="shared" si="60"/>
        <v>0.7384615384615385</v>
      </c>
      <c r="BB63" s="11">
        <f t="shared" si="61"/>
        <v>3.3742331288343558E-2</v>
      </c>
      <c r="BC63" s="11">
        <f t="shared" si="62"/>
        <v>3.3742331288343558E-2</v>
      </c>
      <c r="BD63" s="11">
        <f t="shared" si="63"/>
        <v>0.74220764493282787</v>
      </c>
      <c r="BF63" s="11">
        <f t="shared" si="64"/>
        <v>0.36895334292666815</v>
      </c>
      <c r="BG63" s="11">
        <f t="shared" si="65"/>
        <v>0.50603002708121947</v>
      </c>
      <c r="BI63" s="11">
        <v>0.50603002708121947</v>
      </c>
      <c r="BJ63" s="11">
        <v>1</v>
      </c>
      <c r="BK63" s="11">
        <v>0.14694848072384611</v>
      </c>
      <c r="BM63" s="11">
        <f t="shared" si="34"/>
        <v>0.42974848314801689</v>
      </c>
      <c r="BN63" s="11">
        <f t="shared" si="31"/>
        <v>0.60263797366959004</v>
      </c>
      <c r="BP63" s="11">
        <f t="shared" si="66"/>
        <v>0.69083113442696986</v>
      </c>
      <c r="BQ63" s="11">
        <f t="shared" si="67"/>
        <v>0.95771118828568957</v>
      </c>
    </row>
    <row r="64" spans="1:69" x14ac:dyDescent="0.35">
      <c r="A64" t="s">
        <v>103</v>
      </c>
      <c r="B64" t="s">
        <v>106</v>
      </c>
      <c r="C64">
        <v>10</v>
      </c>
      <c r="D64" t="s">
        <v>53</v>
      </c>
      <c r="E64" t="s">
        <v>94</v>
      </c>
      <c r="F64">
        <v>1</v>
      </c>
      <c r="G64">
        <v>0.38</v>
      </c>
      <c r="H64">
        <v>0.6</v>
      </c>
      <c r="I64">
        <f t="shared" si="69"/>
        <v>0.22799999999999998</v>
      </c>
      <c r="J64">
        <v>0.22</v>
      </c>
      <c r="K64">
        <v>0.6</v>
      </c>
      <c r="L64">
        <f t="shared" si="70"/>
        <v>0.13200000000000001</v>
      </c>
      <c r="M64">
        <v>0.45</v>
      </c>
      <c r="N64" s="1">
        <f t="shared" si="71"/>
        <v>28.431706947347106</v>
      </c>
      <c r="O64" s="1">
        <f t="shared" si="72"/>
        <v>16.68778316806619</v>
      </c>
      <c r="P64" s="1">
        <f t="shared" si="73"/>
        <v>22.55974505770665</v>
      </c>
      <c r="Q64">
        <v>10</v>
      </c>
      <c r="S64">
        <f t="shared" si="42"/>
        <v>1</v>
      </c>
      <c r="T64" s="1">
        <f t="shared" si="43"/>
        <v>0.63451833476062325</v>
      </c>
      <c r="U64" s="1">
        <f t="shared" si="44"/>
        <v>0.63768067236072101</v>
      </c>
      <c r="V64" s="1">
        <f t="shared" si="45"/>
        <v>1</v>
      </c>
      <c r="W64" s="1">
        <f t="shared" si="46"/>
        <v>0.63768067236072101</v>
      </c>
      <c r="X64" s="1">
        <f t="shared" si="47"/>
        <v>0.71296586476669099</v>
      </c>
      <c r="Y64">
        <v>0.9</v>
      </c>
      <c r="Z64" s="1">
        <f t="shared" si="48"/>
        <v>6.5132155989999996</v>
      </c>
      <c r="AA64" s="1">
        <f t="shared" si="49"/>
        <v>0.11673267343282748</v>
      </c>
      <c r="AB64" s="1">
        <f t="shared" si="50"/>
        <v>0.38917430373013301</v>
      </c>
      <c r="AD64" s="1">
        <v>10</v>
      </c>
      <c r="AE64" s="1">
        <v>0.95</v>
      </c>
      <c r="AF64" s="1">
        <f t="shared" si="68"/>
        <v>9.5</v>
      </c>
      <c r="AG64" s="1">
        <f t="shared" si="30"/>
        <v>0.18627450980392157</v>
      </c>
      <c r="AH64" s="1">
        <v>0.72</v>
      </c>
      <c r="AI64" s="1">
        <v>0.96</v>
      </c>
      <c r="AJ64" s="1">
        <v>1.5</v>
      </c>
      <c r="AK64" s="1"/>
      <c r="AL64" s="1"/>
      <c r="AN64" s="1">
        <f t="shared" si="51"/>
        <v>0.95</v>
      </c>
      <c r="AO64" s="1">
        <f t="shared" si="52"/>
        <v>0.94234359424799363</v>
      </c>
      <c r="AP64" s="1">
        <f t="shared" si="53"/>
        <v>0.94234359424799363</v>
      </c>
      <c r="AQ64" s="1">
        <f t="shared" si="54"/>
        <v>0.72</v>
      </c>
      <c r="AR64" s="1">
        <f t="shared" si="55"/>
        <v>0.90909090909090906</v>
      </c>
      <c r="AS64" s="1">
        <f t="shared" si="56"/>
        <v>0.83784007306318942</v>
      </c>
      <c r="AT64" s="1">
        <f t="shared" si="57"/>
        <v>0.90436225628927847</v>
      </c>
      <c r="AU64" s="11">
        <f t="shared" si="58"/>
        <v>0.35195455141119203</v>
      </c>
      <c r="AW64" s="1">
        <v>48</v>
      </c>
      <c r="AX64" s="12">
        <v>15</v>
      </c>
      <c r="AZ64" s="11">
        <f t="shared" si="59"/>
        <v>0.7384615384615385</v>
      </c>
      <c r="BA64" s="11">
        <f t="shared" si="60"/>
        <v>0.7384615384615385</v>
      </c>
      <c r="BB64" s="11">
        <f t="shared" si="61"/>
        <v>3.3742331288343558E-2</v>
      </c>
      <c r="BC64" s="11">
        <f t="shared" si="62"/>
        <v>3.3742331288343558E-2</v>
      </c>
      <c r="BD64" s="11">
        <f t="shared" si="63"/>
        <v>0.74220764493282787</v>
      </c>
      <c r="BF64" s="11">
        <f t="shared" si="64"/>
        <v>0.30733989198944778</v>
      </c>
      <c r="BG64" s="11">
        <f t="shared" si="65"/>
        <v>0.42152542278894756</v>
      </c>
      <c r="BI64" s="11">
        <v>0.42152542278894756</v>
      </c>
      <c r="BJ64" s="11">
        <v>1</v>
      </c>
      <c r="BK64" s="11">
        <v>0.14694848072384611</v>
      </c>
      <c r="BM64" s="11">
        <f t="shared" si="34"/>
        <v>0.38327095078726731</v>
      </c>
      <c r="BN64" s="11">
        <f t="shared" si="31"/>
        <v>0.58573705281113564</v>
      </c>
      <c r="BP64" s="11">
        <f t="shared" si="66"/>
        <v>0.61611737122542776</v>
      </c>
      <c r="BQ64" s="11">
        <f t="shared" si="67"/>
        <v>0.93085227513106117</v>
      </c>
    </row>
    <row r="65" spans="1:69" x14ac:dyDescent="0.35">
      <c r="A65" t="s">
        <v>103</v>
      </c>
      <c r="B65" t="s">
        <v>107</v>
      </c>
      <c r="C65">
        <v>60</v>
      </c>
      <c r="D65" t="s">
        <v>53</v>
      </c>
      <c r="E65" t="s">
        <v>108</v>
      </c>
      <c r="F65">
        <v>1</v>
      </c>
      <c r="G65">
        <v>1.32</v>
      </c>
      <c r="H65">
        <v>1</v>
      </c>
      <c r="I65">
        <f t="shared" si="69"/>
        <v>1.32</v>
      </c>
      <c r="J65">
        <v>0.75</v>
      </c>
      <c r="K65">
        <v>1</v>
      </c>
      <c r="L65">
        <f t="shared" si="70"/>
        <v>0.75</v>
      </c>
      <c r="M65">
        <v>3</v>
      </c>
      <c r="N65" s="1">
        <f t="shared" si="71"/>
        <v>24.81483705480149</v>
      </c>
      <c r="O65" s="1">
        <f t="shared" si="72"/>
        <v>14.250032697803595</v>
      </c>
      <c r="P65" s="1">
        <f t="shared" si="73"/>
        <v>19.532434876302542</v>
      </c>
      <c r="Q65">
        <v>60</v>
      </c>
      <c r="S65">
        <f t="shared" si="42"/>
        <v>1</v>
      </c>
      <c r="T65" s="1">
        <f t="shared" si="43"/>
        <v>0.54937181337064767</v>
      </c>
      <c r="U65" s="1">
        <f t="shared" si="44"/>
        <v>0.58479998094819008</v>
      </c>
      <c r="V65" s="1">
        <f t="shared" si="45"/>
        <v>1</v>
      </c>
      <c r="W65" s="1">
        <f t="shared" si="46"/>
        <v>0.58479998094819008</v>
      </c>
      <c r="X65" s="1">
        <f t="shared" si="47"/>
        <v>0.65384202815608661</v>
      </c>
      <c r="Y65">
        <v>0.98</v>
      </c>
      <c r="Z65" s="1">
        <f t="shared" si="48"/>
        <v>35.122342865393968</v>
      </c>
      <c r="AA65" s="1">
        <f t="shared" si="49"/>
        <v>0.62947785430768022</v>
      </c>
      <c r="AB65" s="1">
        <f t="shared" si="50"/>
        <v>0.74724047970723984</v>
      </c>
      <c r="AD65" s="1">
        <v>60</v>
      </c>
      <c r="AE65" s="1">
        <v>0.85</v>
      </c>
      <c r="AF65" s="1">
        <f t="shared" si="68"/>
        <v>51</v>
      </c>
      <c r="AG65" s="1">
        <f t="shared" si="30"/>
        <v>1</v>
      </c>
      <c r="AH65" s="1">
        <v>0.34</v>
      </c>
      <c r="AI65" s="1">
        <v>0.45</v>
      </c>
      <c r="AJ65" s="1">
        <v>6</v>
      </c>
      <c r="AK65" s="1"/>
      <c r="AL65" s="1"/>
      <c r="AN65" s="1">
        <f t="shared" si="51"/>
        <v>0.85</v>
      </c>
      <c r="AO65" s="1">
        <f t="shared" si="52"/>
        <v>0.92918291006833331</v>
      </c>
      <c r="AP65" s="1">
        <f t="shared" si="53"/>
        <v>0.92918291006833331</v>
      </c>
      <c r="AQ65" s="1">
        <f t="shared" si="54"/>
        <v>0.34</v>
      </c>
      <c r="AR65" s="1">
        <f t="shared" si="55"/>
        <v>0.73684210526315785</v>
      </c>
      <c r="AS65" s="1">
        <f t="shared" si="56"/>
        <v>0.56209665848600399</v>
      </c>
      <c r="AT65" s="1">
        <f t="shared" si="57"/>
        <v>0.7792909629905479</v>
      </c>
      <c r="AU65" s="11">
        <f t="shared" si="58"/>
        <v>0.58231775301657385</v>
      </c>
      <c r="AW65" s="1">
        <v>63</v>
      </c>
      <c r="AX65" s="12">
        <v>48</v>
      </c>
      <c r="AZ65" s="11">
        <f t="shared" si="59"/>
        <v>0.96923076923076923</v>
      </c>
      <c r="BA65" s="11">
        <f t="shared" si="60"/>
        <v>0.96923076923076923</v>
      </c>
      <c r="BB65" s="11">
        <f t="shared" si="61"/>
        <v>0.13496932515337423</v>
      </c>
      <c r="BC65" s="11">
        <f t="shared" si="62"/>
        <v>0.13496932515337423</v>
      </c>
      <c r="BD65" s="11">
        <f t="shared" si="63"/>
        <v>0.55115744016567758</v>
      </c>
      <c r="BF65" s="11">
        <f t="shared" si="64"/>
        <v>0.50874765158574931</v>
      </c>
      <c r="BG65" s="11">
        <f t="shared" si="65"/>
        <v>0.69776190633570634</v>
      </c>
      <c r="BI65" s="11">
        <v>0.69776190633570634</v>
      </c>
      <c r="BJ65" s="11">
        <v>0.59273045935666535</v>
      </c>
      <c r="BK65" s="11">
        <v>0.16576427412361536</v>
      </c>
      <c r="BM65" s="11">
        <f t="shared" si="34"/>
        <v>0.5010595903635704</v>
      </c>
      <c r="BN65" s="11">
        <f t="shared" si="31"/>
        <v>0.46429858392090612</v>
      </c>
      <c r="BP65" s="11">
        <f t="shared" si="66"/>
        <v>0.8054654729453824</v>
      </c>
      <c r="BQ65" s="11">
        <f t="shared" si="67"/>
        <v>0.73786247789630832</v>
      </c>
    </row>
    <row r="66" spans="1:69" x14ac:dyDescent="0.35">
      <c r="A66" t="s">
        <v>103</v>
      </c>
      <c r="B66" t="s">
        <v>107</v>
      </c>
      <c r="C66">
        <v>45</v>
      </c>
      <c r="D66" t="s">
        <v>53</v>
      </c>
      <c r="E66" t="s">
        <v>109</v>
      </c>
      <c r="F66">
        <v>1</v>
      </c>
      <c r="G66">
        <v>1.32</v>
      </c>
      <c r="H66">
        <v>1</v>
      </c>
      <c r="I66">
        <f t="shared" si="69"/>
        <v>1.32</v>
      </c>
      <c r="J66">
        <v>0.75</v>
      </c>
      <c r="K66">
        <v>1</v>
      </c>
      <c r="L66">
        <f t="shared" si="70"/>
        <v>0.75</v>
      </c>
      <c r="M66">
        <v>3</v>
      </c>
      <c r="N66" s="1">
        <f t="shared" si="71"/>
        <v>24.81483705480149</v>
      </c>
      <c r="O66" s="1">
        <f t="shared" si="72"/>
        <v>14.250032697803595</v>
      </c>
      <c r="P66" s="1">
        <f t="shared" si="73"/>
        <v>19.532434876302542</v>
      </c>
      <c r="Q66">
        <v>45</v>
      </c>
      <c r="S66">
        <f t="shared" ref="S66:S97" si="74">F66</f>
        <v>1</v>
      </c>
      <c r="T66" s="1">
        <f t="shared" ref="T66:T97" si="75">MIN(1, P66/$S$135)</f>
        <v>0.54937181337064767</v>
      </c>
      <c r="U66" s="1">
        <f t="shared" ref="U66:U97" si="76">1 - POWER(2.718281828, -$S$136 * MIN(1, P66/$S$135))</f>
        <v>0.58479998094819008</v>
      </c>
      <c r="V66" s="1">
        <f t="shared" ref="V66:V97" si="77">1 + MIN($S$138, $S$137 * MAX(0, P66/$S$135 - 1))</f>
        <v>1</v>
      </c>
      <c r="W66" s="1">
        <f t="shared" ref="W66:W97" si="78">U66*V66</f>
        <v>0.58479998094819008</v>
      </c>
      <c r="X66" s="1">
        <f t="shared" ref="X66:X97" si="79">W66/$W$131</f>
        <v>0.65384202815608661</v>
      </c>
      <c r="Y66">
        <v>0.98</v>
      </c>
      <c r="Z66" s="1">
        <f t="shared" ref="Z66:Z97" si="80" xml:space="preserve"> (1 - POWER(Y66, Q66)) / (1 - Y66)</f>
        <v>29.856106786328724</v>
      </c>
      <c r="AA66" s="1">
        <f t="shared" ref="AA66:AA97" si="81">Z66/$Z$131</f>
        <v>0.5350940883945603</v>
      </c>
      <c r="AB66" s="1">
        <f t="shared" ref="AB66:AB97" si="82">POWER(PRODUCT(POWER(S66,$S$129),POWER(X66,$X$129),POWER(AA66,$AA$129)),1/SUM($S$129,$X$129,$AA$129))</f>
        <v>0.70022928433423037</v>
      </c>
      <c r="AD66" s="1">
        <v>45</v>
      </c>
      <c r="AE66" s="1">
        <v>0.87</v>
      </c>
      <c r="AF66" s="1">
        <f t="shared" si="68"/>
        <v>39.15</v>
      </c>
      <c r="AG66" s="1">
        <f t="shared" si="30"/>
        <v>0.76764705882352935</v>
      </c>
      <c r="AH66" s="1">
        <v>0.34</v>
      </c>
      <c r="AI66" s="1">
        <v>0.45</v>
      </c>
      <c r="AJ66" s="1">
        <v>6</v>
      </c>
      <c r="AK66" s="1"/>
      <c r="AL66" s="1"/>
      <c r="AN66" s="1">
        <f t="shared" ref="AN66:AN97" si="83">MIN(1, AF66/Q66)</f>
        <v>0.87</v>
      </c>
      <c r="AO66" s="1">
        <f t="shared" ref="AO66:AO97" si="84">MIN(1,
   1 - POWER(
         1 - IFERROR(VLOOKUP(D66, $BR$3:$BS$7, 2, FALSE), 0.92),
         POWER(
            MAX(0, MIN(1, IFERROR(AF66 / Q66, 0))),
            IFERROR(
               INDEX($BT$3:$CE$7,
                      MATCH(D66, $BR$3:$BR$7, 0),
                      MATCH(Q66,  $BT$2:$CE$2, 1)
               ),
               1
            )
         )
      )
)</f>
        <v>0.93219494339122377</v>
      </c>
      <c r="AP66" s="1">
        <f t="shared" ref="AP66:AP97" si="85">AO66</f>
        <v>0.93219494339122377</v>
      </c>
      <c r="AQ66" s="1">
        <f t="shared" ref="AQ66:AQ97" si="86">AH66</f>
        <v>0.34</v>
      </c>
      <c r="AR66" s="1">
        <f t="shared" ref="AR66:AR97" si="87">1/(1+$AR$135*((AJ66-1)/(1+AJ66)))</f>
        <v>0.73684210526315785</v>
      </c>
      <c r="AS66" s="1">
        <f t="shared" ref="AS66:AS97" si="88">POWER( POWER(AQ66, $AQ$129) * POWER(AR66, $AR$129), 1/($AQ$129+$AR$129) )</f>
        <v>0.56209665848600399</v>
      </c>
      <c r="AT66" s="1">
        <f t="shared" ref="AT66:AT97" si="89">POWER( POWER(AP66, $AP$129) * POWER(AS66, $AS$129), 1/($AP$129+$AS$129) )</f>
        <v>0.78093202683890661</v>
      </c>
      <c r="AU66" s="11">
        <f t="shared" ref="AU66:AU97" si="90">AB66*AT66</f>
        <v>0.54683147426708756</v>
      </c>
      <c r="AW66" s="1">
        <v>63</v>
      </c>
      <c r="AX66" s="12">
        <v>48</v>
      </c>
      <c r="AZ66" s="11">
        <f t="shared" ref="AZ66:AZ97" si="91">AW66/$AW$131</f>
        <v>0.96923076923076923</v>
      </c>
      <c r="BA66" s="11">
        <f t="shared" ref="BA66:BA97" si="92">AZ66</f>
        <v>0.96923076923076923</v>
      </c>
      <c r="BB66" s="11">
        <f t="shared" ref="BB66:BB97" si="93">(AX66 - $BB$135) / ($BB$136 - $BB$135)</f>
        <v>0.13496932515337423</v>
      </c>
      <c r="BC66" s="11">
        <f t="shared" ref="BC66:BC97" si="94">MAX(0, MIN(1, BB66))</f>
        <v>0.13496932515337423</v>
      </c>
      <c r="BD66" s="11">
        <f t="shared" ref="BD66:BD97" si="95" xml:space="preserve"> 1 - POWER(BC66, $BD$135)</f>
        <v>0.55115744016567758</v>
      </c>
      <c r="BF66" s="11">
        <f t="shared" ref="BF66:BF97" si="96">AU66
 * (1 - $BF$135 * POWER(1 - BA66, $BF$136))
 * (1 - $BF$137 * POWER(1 - BD66, $BF$138))</f>
        <v>0.47774471395625789</v>
      </c>
      <c r="BG66" s="11">
        <f t="shared" ref="BG66:BG97" si="97">BF66/$BF$131</f>
        <v>0.65524049361776526</v>
      </c>
      <c r="BI66" s="11">
        <v>0.65524049361776526</v>
      </c>
      <c r="BJ66" s="11">
        <v>0.59273045935666535</v>
      </c>
      <c r="BK66" s="11">
        <v>0.16576427412361536</v>
      </c>
      <c r="BM66" s="11">
        <f t="shared" si="34"/>
        <v>0.47767281336870288</v>
      </c>
      <c r="BN66" s="11">
        <f t="shared" si="31"/>
        <v>0.45579430137731786</v>
      </c>
      <c r="BP66" s="11">
        <f t="shared" si="66"/>
        <v>0.76787066036197138</v>
      </c>
      <c r="BQ66" s="11">
        <f t="shared" si="67"/>
        <v>0.72434748731125997</v>
      </c>
    </row>
    <row r="67" spans="1:69" x14ac:dyDescent="0.35">
      <c r="A67" t="s">
        <v>103</v>
      </c>
      <c r="B67" t="s">
        <v>107</v>
      </c>
      <c r="C67">
        <v>40</v>
      </c>
      <c r="D67" t="s">
        <v>53</v>
      </c>
      <c r="E67" t="s">
        <v>110</v>
      </c>
      <c r="F67">
        <v>1</v>
      </c>
      <c r="G67">
        <v>1.32</v>
      </c>
      <c r="H67">
        <v>1</v>
      </c>
      <c r="I67">
        <f t="shared" si="69"/>
        <v>1.32</v>
      </c>
      <c r="J67">
        <v>0.75</v>
      </c>
      <c r="K67">
        <v>1</v>
      </c>
      <c r="L67">
        <f t="shared" si="70"/>
        <v>0.75</v>
      </c>
      <c r="M67">
        <v>3</v>
      </c>
      <c r="N67" s="1">
        <f t="shared" si="71"/>
        <v>24.81483705480149</v>
      </c>
      <c r="O67" s="1">
        <f t="shared" si="72"/>
        <v>14.250032697803595</v>
      </c>
      <c r="P67" s="1">
        <f t="shared" si="73"/>
        <v>19.532434876302542</v>
      </c>
      <c r="Q67">
        <v>40</v>
      </c>
      <c r="S67">
        <f t="shared" si="74"/>
        <v>1</v>
      </c>
      <c r="T67" s="1">
        <f t="shared" si="75"/>
        <v>0.54937181337064767</v>
      </c>
      <c r="U67" s="1">
        <f t="shared" si="76"/>
        <v>0.58479998094819008</v>
      </c>
      <c r="V67" s="1">
        <f t="shared" si="77"/>
        <v>1</v>
      </c>
      <c r="W67" s="1">
        <f t="shared" si="78"/>
        <v>0.58479998094819008</v>
      </c>
      <c r="X67" s="1">
        <f t="shared" si="79"/>
        <v>0.65384202815608661</v>
      </c>
      <c r="Y67">
        <v>0.98</v>
      </c>
      <c r="Z67" s="1">
        <f t="shared" si="80"/>
        <v>27.714979802452454</v>
      </c>
      <c r="AA67" s="1">
        <f t="shared" si="81"/>
        <v>0.49671988241473408</v>
      </c>
      <c r="AB67" s="1">
        <f t="shared" si="82"/>
        <v>0.6796930448040992</v>
      </c>
      <c r="AD67" s="1">
        <v>40</v>
      </c>
      <c r="AE67" s="1">
        <v>0.89</v>
      </c>
      <c r="AF67" s="1">
        <f t="shared" si="68"/>
        <v>35.6</v>
      </c>
      <c r="AG67" s="1">
        <f t="shared" ref="AG67:AG127" si="98">AF67/$AF$131</f>
        <v>0.69803921568627458</v>
      </c>
      <c r="AH67" s="1">
        <v>0.34</v>
      </c>
      <c r="AI67" s="1">
        <v>0.45</v>
      </c>
      <c r="AJ67" s="1">
        <v>6</v>
      </c>
      <c r="AK67" s="1"/>
      <c r="AL67" s="1"/>
      <c r="AN67" s="1">
        <f t="shared" si="83"/>
        <v>0.89</v>
      </c>
      <c r="AO67" s="1">
        <f t="shared" si="84"/>
        <v>0.93513454410151697</v>
      </c>
      <c r="AP67" s="1">
        <f t="shared" si="85"/>
        <v>0.93513454410151697</v>
      </c>
      <c r="AQ67" s="1">
        <f t="shared" si="86"/>
        <v>0.34</v>
      </c>
      <c r="AR67" s="1">
        <f t="shared" si="87"/>
        <v>0.73684210526315785</v>
      </c>
      <c r="AS67" s="1">
        <f t="shared" si="88"/>
        <v>0.56209665848600399</v>
      </c>
      <c r="AT67" s="1">
        <f t="shared" si="89"/>
        <v>0.78253183828762585</v>
      </c>
      <c r="AU67" s="11">
        <f t="shared" si="90"/>
        <v>0.53188144782186542</v>
      </c>
      <c r="AW67" s="1">
        <v>63</v>
      </c>
      <c r="AX67" s="12">
        <v>48</v>
      </c>
      <c r="AZ67" s="11">
        <f t="shared" si="91"/>
        <v>0.96923076923076923</v>
      </c>
      <c r="BA67" s="11">
        <f t="shared" si="92"/>
        <v>0.96923076923076923</v>
      </c>
      <c r="BB67" s="11">
        <f t="shared" si="93"/>
        <v>0.13496932515337423</v>
      </c>
      <c r="BC67" s="11">
        <f t="shared" si="94"/>
        <v>0.13496932515337423</v>
      </c>
      <c r="BD67" s="11">
        <f t="shared" si="95"/>
        <v>0.55115744016567758</v>
      </c>
      <c r="BF67" s="11">
        <f t="shared" si="96"/>
        <v>0.46468347581651126</v>
      </c>
      <c r="BG67" s="11">
        <f t="shared" si="97"/>
        <v>0.63732663318993354</v>
      </c>
      <c r="BI67" s="11">
        <v>0.63732663318993354</v>
      </c>
      <c r="BJ67" s="11">
        <v>0.59273045935666535</v>
      </c>
      <c r="BK67" s="11">
        <v>0.16576427412361536</v>
      </c>
      <c r="BM67" s="11">
        <f t="shared" si="34"/>
        <v>0.46782019013339543</v>
      </c>
      <c r="BN67" s="11">
        <f t="shared" ref="BN67:BN127" si="99">BI67*$BI$136+BJ67*$BJ$136+BK67*$BK$136</f>
        <v>0.45221152929175151</v>
      </c>
      <c r="BP67" s="11">
        <f t="shared" si="66"/>
        <v>0.75203232898062566</v>
      </c>
      <c r="BQ67" s="11">
        <f t="shared" si="67"/>
        <v>0.71865375233048723</v>
      </c>
    </row>
    <row r="68" spans="1:69" x14ac:dyDescent="0.35">
      <c r="A68" t="s">
        <v>103</v>
      </c>
      <c r="B68" t="s">
        <v>107</v>
      </c>
      <c r="C68">
        <v>35</v>
      </c>
      <c r="D68" t="s">
        <v>53</v>
      </c>
      <c r="E68" t="s">
        <v>111</v>
      </c>
      <c r="F68">
        <v>1</v>
      </c>
      <c r="G68">
        <v>1.32</v>
      </c>
      <c r="H68">
        <v>1</v>
      </c>
      <c r="I68">
        <f t="shared" si="69"/>
        <v>1.32</v>
      </c>
      <c r="J68">
        <v>0.75</v>
      </c>
      <c r="K68">
        <v>1</v>
      </c>
      <c r="L68">
        <f t="shared" si="70"/>
        <v>0.75</v>
      </c>
      <c r="M68">
        <v>3</v>
      </c>
      <c r="N68" s="1">
        <f t="shared" si="71"/>
        <v>24.81483705480149</v>
      </c>
      <c r="O68" s="1">
        <f t="shared" si="72"/>
        <v>14.250032697803595</v>
      </c>
      <c r="P68" s="1">
        <f t="shared" si="73"/>
        <v>19.532434876302542</v>
      </c>
      <c r="Q68">
        <v>35</v>
      </c>
      <c r="S68">
        <f t="shared" si="74"/>
        <v>1</v>
      </c>
      <c r="T68" s="1">
        <f t="shared" si="75"/>
        <v>0.54937181337064767</v>
      </c>
      <c r="U68" s="1">
        <f t="shared" si="76"/>
        <v>0.58479998094819008</v>
      </c>
      <c r="V68" s="1">
        <f t="shared" si="77"/>
        <v>1</v>
      </c>
      <c r="W68" s="1">
        <f t="shared" si="78"/>
        <v>0.58479998094819008</v>
      </c>
      <c r="X68" s="1">
        <f t="shared" si="79"/>
        <v>0.65384202815608661</v>
      </c>
      <c r="Y68">
        <v>0.97499999999999998</v>
      </c>
      <c r="Z68" s="1">
        <f t="shared" si="80"/>
        <v>23.509966391823994</v>
      </c>
      <c r="AA68" s="1">
        <f t="shared" si="81"/>
        <v>0.42135580920350546</v>
      </c>
      <c r="AB68" s="1">
        <f t="shared" si="82"/>
        <v>0.63639652950224646</v>
      </c>
      <c r="AD68" s="1">
        <v>35</v>
      </c>
      <c r="AE68" s="1">
        <v>0.91</v>
      </c>
      <c r="AF68" s="1">
        <f t="shared" si="68"/>
        <v>31.85</v>
      </c>
      <c r="AG68" s="1">
        <f t="shared" si="98"/>
        <v>0.62450980392156863</v>
      </c>
      <c r="AH68" s="1">
        <v>0.34</v>
      </c>
      <c r="AI68" s="1">
        <v>0.45</v>
      </c>
      <c r="AJ68" s="1">
        <v>6</v>
      </c>
      <c r="AK68" s="1"/>
      <c r="AL68" s="1"/>
      <c r="AN68" s="1">
        <f t="shared" si="83"/>
        <v>0.91</v>
      </c>
      <c r="AO68" s="1">
        <f t="shared" si="84"/>
        <v>0.93800155462106338</v>
      </c>
      <c r="AP68" s="1">
        <f t="shared" si="85"/>
        <v>0.93800155462106338</v>
      </c>
      <c r="AQ68" s="1">
        <f t="shared" si="86"/>
        <v>0.34</v>
      </c>
      <c r="AR68" s="1">
        <f t="shared" si="87"/>
        <v>0.73684210526315785</v>
      </c>
      <c r="AS68" s="1">
        <f t="shared" si="88"/>
        <v>0.56209665848600399</v>
      </c>
      <c r="AT68" s="1">
        <f t="shared" si="89"/>
        <v>0.78409044953599094</v>
      </c>
      <c r="AU68" s="11">
        <f t="shared" si="90"/>
        <v>0.49899244090056094</v>
      </c>
      <c r="AW68" s="1">
        <v>63</v>
      </c>
      <c r="AX68" s="12">
        <v>48</v>
      </c>
      <c r="AZ68" s="11">
        <f t="shared" si="91"/>
        <v>0.96923076923076923</v>
      </c>
      <c r="BA68" s="11">
        <f t="shared" si="92"/>
        <v>0.96923076923076923</v>
      </c>
      <c r="BB68" s="11">
        <f t="shared" si="93"/>
        <v>0.13496932515337423</v>
      </c>
      <c r="BC68" s="11">
        <f t="shared" si="94"/>
        <v>0.13496932515337423</v>
      </c>
      <c r="BD68" s="11">
        <f t="shared" si="95"/>
        <v>0.55115744016567758</v>
      </c>
      <c r="BF68" s="11">
        <f t="shared" si="96"/>
        <v>0.43594967035115589</v>
      </c>
      <c r="BG68" s="11">
        <f t="shared" si="97"/>
        <v>0.59791739991820736</v>
      </c>
      <c r="BI68" s="11">
        <v>0.59791739991820736</v>
      </c>
      <c r="BJ68" s="11">
        <v>0.59273045935666535</v>
      </c>
      <c r="BK68" s="11">
        <v>0.16576427412361536</v>
      </c>
      <c r="BM68" s="11">
        <f t="shared" si="34"/>
        <v>0.44614511183394595</v>
      </c>
      <c r="BN68" s="11">
        <f t="shared" si="99"/>
        <v>0.4443296826374063</v>
      </c>
      <c r="BP68" s="11">
        <f t="shared" si="66"/>
        <v>0.71718911366380811</v>
      </c>
      <c r="BQ68" s="11">
        <f t="shared" si="67"/>
        <v>0.70612793574569099</v>
      </c>
    </row>
    <row r="69" spans="1:69" x14ac:dyDescent="0.35">
      <c r="A69" t="s">
        <v>103</v>
      </c>
      <c r="B69" t="s">
        <v>107</v>
      </c>
      <c r="C69">
        <v>30</v>
      </c>
      <c r="D69" t="s">
        <v>53</v>
      </c>
      <c r="E69" t="s">
        <v>91</v>
      </c>
      <c r="F69">
        <v>1</v>
      </c>
      <c r="G69">
        <v>1.32</v>
      </c>
      <c r="H69">
        <v>1</v>
      </c>
      <c r="I69">
        <f t="shared" si="69"/>
        <v>1.32</v>
      </c>
      <c r="J69">
        <v>0.75</v>
      </c>
      <c r="K69">
        <v>1</v>
      </c>
      <c r="L69">
        <f t="shared" si="70"/>
        <v>0.75</v>
      </c>
      <c r="M69">
        <v>3</v>
      </c>
      <c r="N69" s="1">
        <f t="shared" si="71"/>
        <v>24.81483705480149</v>
      </c>
      <c r="O69" s="1">
        <f t="shared" si="72"/>
        <v>14.250032697803595</v>
      </c>
      <c r="P69" s="1">
        <f t="shared" si="73"/>
        <v>19.532434876302542</v>
      </c>
      <c r="Q69">
        <v>30</v>
      </c>
      <c r="S69">
        <f t="shared" si="74"/>
        <v>1</v>
      </c>
      <c r="T69" s="1">
        <f t="shared" si="75"/>
        <v>0.54937181337064767</v>
      </c>
      <c r="U69" s="1">
        <f t="shared" si="76"/>
        <v>0.58479998094819008</v>
      </c>
      <c r="V69" s="1">
        <f t="shared" si="77"/>
        <v>1</v>
      </c>
      <c r="W69" s="1">
        <f t="shared" si="78"/>
        <v>0.58479998094819008</v>
      </c>
      <c r="X69" s="1">
        <f t="shared" si="79"/>
        <v>0.65384202815608661</v>
      </c>
      <c r="Y69">
        <v>0.97</v>
      </c>
      <c r="Z69" s="1">
        <f t="shared" si="80"/>
        <v>19.966431048561397</v>
      </c>
      <c r="AA69" s="1">
        <f t="shared" si="81"/>
        <v>0.35784703266519102</v>
      </c>
      <c r="AB69" s="1">
        <f t="shared" si="82"/>
        <v>0.59613850811742575</v>
      </c>
      <c r="AD69" s="1">
        <v>30</v>
      </c>
      <c r="AE69" s="1">
        <v>0.93</v>
      </c>
      <c r="AF69" s="1">
        <f t="shared" si="68"/>
        <v>27.900000000000002</v>
      </c>
      <c r="AG69" s="1">
        <f>AF69/$AF$131</f>
        <v>0.54705882352941182</v>
      </c>
      <c r="AH69" s="1">
        <v>0.34</v>
      </c>
      <c r="AI69" s="1">
        <v>0.45</v>
      </c>
      <c r="AJ69" s="1">
        <v>6</v>
      </c>
      <c r="AK69" s="1"/>
      <c r="AL69" s="1"/>
      <c r="AN69" s="1">
        <f t="shared" si="83"/>
        <v>0.93</v>
      </c>
      <c r="AO69" s="1">
        <f t="shared" si="84"/>
        <v>0.94079579637633415</v>
      </c>
      <c r="AP69" s="1">
        <f t="shared" si="85"/>
        <v>0.94079579637633415</v>
      </c>
      <c r="AQ69" s="1">
        <f t="shared" si="86"/>
        <v>0.34</v>
      </c>
      <c r="AR69" s="1">
        <f t="shared" si="87"/>
        <v>0.73684210526315785</v>
      </c>
      <c r="AS69" s="1">
        <f t="shared" si="88"/>
        <v>0.56209665848600399</v>
      </c>
      <c r="AT69" s="1">
        <f t="shared" si="89"/>
        <v>0.78560789740984183</v>
      </c>
      <c r="AU69" s="11">
        <f t="shared" si="90"/>
        <v>0.46833111992717075</v>
      </c>
      <c r="AW69" s="1">
        <v>63</v>
      </c>
      <c r="AX69" s="12">
        <v>48</v>
      </c>
      <c r="AZ69" s="11">
        <f t="shared" si="91"/>
        <v>0.96923076923076923</v>
      </c>
      <c r="BA69" s="11">
        <f t="shared" si="92"/>
        <v>0.96923076923076923</v>
      </c>
      <c r="BB69" s="11">
        <f t="shared" si="93"/>
        <v>0.13496932515337423</v>
      </c>
      <c r="BC69" s="11">
        <f t="shared" si="94"/>
        <v>0.13496932515337423</v>
      </c>
      <c r="BD69" s="11">
        <f t="shared" si="95"/>
        <v>0.55115744016567758</v>
      </c>
      <c r="BF69" s="11">
        <f t="shared" si="96"/>
        <v>0.40916210469834441</v>
      </c>
      <c r="BG69" s="11">
        <f t="shared" si="97"/>
        <v>0.56117749002822881</v>
      </c>
      <c r="BI69" s="11">
        <v>0.56117749002822881</v>
      </c>
      <c r="BJ69" s="11">
        <v>0.59273045935666535</v>
      </c>
      <c r="BK69" s="11">
        <v>0.16576427412361536</v>
      </c>
      <c r="BM69" s="11">
        <f t="shared" si="34"/>
        <v>0.42593816139445778</v>
      </c>
      <c r="BN69" s="11">
        <f t="shared" si="99"/>
        <v>0.43698170065941055</v>
      </c>
      <c r="BP69" s="11">
        <f t="shared" si="66"/>
        <v>0.68470594957405118</v>
      </c>
      <c r="BQ69" s="11">
        <f t="shared" si="67"/>
        <v>0.69445053594826889</v>
      </c>
    </row>
    <row r="70" spans="1:69" x14ac:dyDescent="0.35">
      <c r="A70" t="s">
        <v>103</v>
      </c>
      <c r="B70" t="s">
        <v>107</v>
      </c>
      <c r="C70">
        <v>25</v>
      </c>
      <c r="D70" t="s">
        <v>53</v>
      </c>
      <c r="E70" t="s">
        <v>92</v>
      </c>
      <c r="F70">
        <v>1</v>
      </c>
      <c r="G70">
        <v>1.32</v>
      </c>
      <c r="H70">
        <v>1</v>
      </c>
      <c r="I70">
        <f t="shared" si="69"/>
        <v>1.32</v>
      </c>
      <c r="J70">
        <v>0.75</v>
      </c>
      <c r="K70">
        <v>1</v>
      </c>
      <c r="L70">
        <f t="shared" si="70"/>
        <v>0.75</v>
      </c>
      <c r="M70">
        <v>3</v>
      </c>
      <c r="N70" s="1">
        <f t="shared" si="71"/>
        <v>24.81483705480149</v>
      </c>
      <c r="O70" s="1">
        <f t="shared" si="72"/>
        <v>14.250032697803595</v>
      </c>
      <c r="P70" s="1">
        <f t="shared" si="73"/>
        <v>19.532434876302542</v>
      </c>
      <c r="Q70">
        <v>25</v>
      </c>
      <c r="S70">
        <f t="shared" si="74"/>
        <v>1</v>
      </c>
      <c r="T70" s="1">
        <f t="shared" si="75"/>
        <v>0.54937181337064767</v>
      </c>
      <c r="U70" s="1">
        <f t="shared" si="76"/>
        <v>0.58479998094819008</v>
      </c>
      <c r="V70" s="1">
        <f t="shared" si="77"/>
        <v>1</v>
      </c>
      <c r="W70" s="1">
        <f t="shared" si="78"/>
        <v>0.58479998094819008</v>
      </c>
      <c r="X70" s="1">
        <f t="shared" si="79"/>
        <v>0.65384202815608661</v>
      </c>
      <c r="Y70">
        <v>0.96499999999999997</v>
      </c>
      <c r="Z70" s="1">
        <f t="shared" si="80"/>
        <v>16.846376253405058</v>
      </c>
      <c r="AA70" s="1">
        <f t="shared" si="81"/>
        <v>0.30192805808811252</v>
      </c>
      <c r="AB70" s="1">
        <f t="shared" si="82"/>
        <v>0.55696717127274353</v>
      </c>
      <c r="AD70" s="1">
        <v>25</v>
      </c>
      <c r="AE70" s="1">
        <v>0.95</v>
      </c>
      <c r="AF70" s="1">
        <f t="shared" si="68"/>
        <v>23.75</v>
      </c>
      <c r="AG70" s="1">
        <f t="shared" si="98"/>
        <v>0.46568627450980393</v>
      </c>
      <c r="AH70" s="1">
        <v>0.34</v>
      </c>
      <c r="AI70" s="1">
        <v>0.45</v>
      </c>
      <c r="AJ70" s="1">
        <v>6</v>
      </c>
      <c r="AK70" s="1"/>
      <c r="AL70" s="1"/>
      <c r="AN70" s="1">
        <f t="shared" si="83"/>
        <v>0.95</v>
      </c>
      <c r="AO70" s="1">
        <f t="shared" si="84"/>
        <v>0.94339210390017814</v>
      </c>
      <c r="AP70" s="1">
        <f t="shared" si="85"/>
        <v>0.94339210390017814</v>
      </c>
      <c r="AQ70" s="1">
        <f t="shared" si="86"/>
        <v>0.34</v>
      </c>
      <c r="AR70" s="1">
        <f t="shared" si="87"/>
        <v>0.73684210526315785</v>
      </c>
      <c r="AS70" s="1">
        <f t="shared" si="88"/>
        <v>0.56209665848600399</v>
      </c>
      <c r="AT70" s="1">
        <f t="shared" si="89"/>
        <v>0.78701644144714311</v>
      </c>
      <c r="AU70" s="11">
        <f t="shared" si="90"/>
        <v>0.43834232113795607</v>
      </c>
      <c r="AW70" s="1">
        <v>63</v>
      </c>
      <c r="AX70" s="12">
        <v>48</v>
      </c>
      <c r="AZ70" s="11">
        <f t="shared" si="91"/>
        <v>0.96923076923076923</v>
      </c>
      <c r="BA70" s="11">
        <f t="shared" si="92"/>
        <v>0.96923076923076923</v>
      </c>
      <c r="BB70" s="11">
        <f t="shared" si="93"/>
        <v>0.13496932515337423</v>
      </c>
      <c r="BC70" s="11">
        <f t="shared" si="94"/>
        <v>0.13496932515337423</v>
      </c>
      <c r="BD70" s="11">
        <f t="shared" si="95"/>
        <v>0.55115744016567758</v>
      </c>
      <c r="BF70" s="11">
        <f t="shared" si="96"/>
        <v>0.38296209468859238</v>
      </c>
      <c r="BG70" s="11">
        <f t="shared" si="97"/>
        <v>0.52524342945136571</v>
      </c>
      <c r="BI70" s="11">
        <v>0.52524342945136571</v>
      </c>
      <c r="BJ70" s="11">
        <v>0.59273045935666535</v>
      </c>
      <c r="BK70" s="11">
        <v>0.16576427412361536</v>
      </c>
      <c r="BM70" s="11">
        <f t="shared" ref="BM70:BM127" si="100">BI70*$BI$135+BJ70*$BJ$135+BK70*$BK$135</f>
        <v>0.40617442807718313</v>
      </c>
      <c r="BN70" s="11">
        <f t="shared" si="99"/>
        <v>0.42979488854403797</v>
      </c>
      <c r="BP70" s="11">
        <f t="shared" si="66"/>
        <v>0.65293526778345989</v>
      </c>
      <c r="BQ70" s="11">
        <f t="shared" si="67"/>
        <v>0.6830292670078334</v>
      </c>
    </row>
    <row r="71" spans="1:69" x14ac:dyDescent="0.35">
      <c r="A71" t="s">
        <v>103</v>
      </c>
      <c r="B71" t="s">
        <v>107</v>
      </c>
      <c r="C71">
        <v>20</v>
      </c>
      <c r="D71" t="s">
        <v>53</v>
      </c>
      <c r="E71" t="s">
        <v>55</v>
      </c>
      <c r="F71">
        <v>1</v>
      </c>
      <c r="G71">
        <v>1.32</v>
      </c>
      <c r="H71">
        <v>1</v>
      </c>
      <c r="I71">
        <f t="shared" si="69"/>
        <v>1.32</v>
      </c>
      <c r="J71">
        <v>0.75</v>
      </c>
      <c r="K71">
        <v>1</v>
      </c>
      <c r="L71">
        <f t="shared" si="70"/>
        <v>0.75</v>
      </c>
      <c r="M71">
        <v>3</v>
      </c>
      <c r="N71" s="1">
        <f t="shared" si="71"/>
        <v>24.81483705480149</v>
      </c>
      <c r="O71" s="1">
        <f t="shared" si="72"/>
        <v>14.250032697803595</v>
      </c>
      <c r="P71" s="1">
        <f t="shared" si="73"/>
        <v>19.532434876302542</v>
      </c>
      <c r="Q71">
        <v>20</v>
      </c>
      <c r="S71">
        <f t="shared" si="74"/>
        <v>1</v>
      </c>
      <c r="T71" s="1">
        <f t="shared" si="75"/>
        <v>0.54937181337064767</v>
      </c>
      <c r="U71" s="1">
        <f t="shared" si="76"/>
        <v>0.58479998094819008</v>
      </c>
      <c r="V71" s="1">
        <f t="shared" si="77"/>
        <v>1</v>
      </c>
      <c r="W71" s="1">
        <f t="shared" si="78"/>
        <v>0.58479998094819008</v>
      </c>
      <c r="X71" s="1">
        <f t="shared" si="79"/>
        <v>0.65384202815608661</v>
      </c>
      <c r="Y71">
        <v>0.96</v>
      </c>
      <c r="Z71" s="1">
        <f t="shared" si="80"/>
        <v>13.949939153014794</v>
      </c>
      <c r="AA71" s="1">
        <f t="shared" si="81"/>
        <v>0.25001685677451041</v>
      </c>
      <c r="AB71" s="1">
        <f t="shared" si="82"/>
        <v>0.51648287311216878</v>
      </c>
      <c r="AD71" s="1">
        <v>20</v>
      </c>
      <c r="AE71" s="1">
        <v>0.97</v>
      </c>
      <c r="AF71" s="1">
        <f t="shared" si="68"/>
        <v>19.399999999999999</v>
      </c>
      <c r="AG71" s="1">
        <f t="shared" si="98"/>
        <v>0.38039215686274508</v>
      </c>
      <c r="AH71" s="1">
        <v>0.34</v>
      </c>
      <c r="AI71" s="1">
        <v>0.45</v>
      </c>
      <c r="AJ71" s="1">
        <v>6</v>
      </c>
      <c r="AK71" s="1"/>
      <c r="AL71" s="1"/>
      <c r="AN71" s="1">
        <f t="shared" si="83"/>
        <v>0.97</v>
      </c>
      <c r="AO71" s="1">
        <f t="shared" si="84"/>
        <v>0.94602137862819857</v>
      </c>
      <c r="AP71" s="1">
        <f t="shared" si="85"/>
        <v>0.94602137862819857</v>
      </c>
      <c r="AQ71" s="1">
        <f t="shared" si="86"/>
        <v>0.34</v>
      </c>
      <c r="AR71" s="1">
        <f t="shared" si="87"/>
        <v>0.73684210526315785</v>
      </c>
      <c r="AS71" s="1">
        <f t="shared" si="88"/>
        <v>0.56209665848600399</v>
      </c>
      <c r="AT71" s="1">
        <f t="shared" si="89"/>
        <v>0.7884414887685659</v>
      </c>
      <c r="AU71" s="11">
        <f t="shared" si="90"/>
        <v>0.40721652540002468</v>
      </c>
      <c r="AW71" s="1">
        <v>63</v>
      </c>
      <c r="AX71" s="12">
        <v>48</v>
      </c>
      <c r="AZ71" s="11">
        <f t="shared" si="91"/>
        <v>0.96923076923076923</v>
      </c>
      <c r="BA71" s="11">
        <f t="shared" si="92"/>
        <v>0.96923076923076923</v>
      </c>
      <c r="BB71" s="11">
        <f t="shared" si="93"/>
        <v>0.13496932515337423</v>
      </c>
      <c r="BC71" s="11">
        <f t="shared" si="94"/>
        <v>0.13496932515337423</v>
      </c>
      <c r="BD71" s="11">
        <f t="shared" si="95"/>
        <v>0.55115744016567758</v>
      </c>
      <c r="BF71" s="11">
        <f t="shared" si="96"/>
        <v>0.35576873607402232</v>
      </c>
      <c r="BG71" s="11">
        <f t="shared" si="97"/>
        <v>0.4879469629469404</v>
      </c>
      <c r="BI71" s="11">
        <v>0.4879469629469404</v>
      </c>
      <c r="BJ71" s="11">
        <v>0.59273045935666535</v>
      </c>
      <c r="BK71" s="11">
        <v>0.16576427412361536</v>
      </c>
      <c r="BM71" s="11">
        <f t="shared" si="100"/>
        <v>0.38566137149974916</v>
      </c>
      <c r="BN71" s="11">
        <f t="shared" si="99"/>
        <v>0.42233559524315289</v>
      </c>
      <c r="BP71" s="11">
        <f t="shared" si="66"/>
        <v>0.61996003063510108</v>
      </c>
      <c r="BQ71" s="11">
        <f t="shared" si="67"/>
        <v>0.67117497145546101</v>
      </c>
    </row>
    <row r="72" spans="1:69" x14ac:dyDescent="0.35">
      <c r="A72" t="s">
        <v>103</v>
      </c>
      <c r="B72" t="s">
        <v>107</v>
      </c>
      <c r="C72">
        <v>15</v>
      </c>
      <c r="D72" t="s">
        <v>53</v>
      </c>
      <c r="E72" t="s">
        <v>93</v>
      </c>
      <c r="F72">
        <v>1</v>
      </c>
      <c r="G72">
        <v>1.32</v>
      </c>
      <c r="H72">
        <v>1</v>
      </c>
      <c r="I72">
        <f t="shared" si="69"/>
        <v>1.32</v>
      </c>
      <c r="J72">
        <v>0.75</v>
      </c>
      <c r="K72">
        <v>1</v>
      </c>
      <c r="L72">
        <f t="shared" si="70"/>
        <v>0.75</v>
      </c>
      <c r="M72">
        <v>3</v>
      </c>
      <c r="N72" s="1">
        <f t="shared" si="71"/>
        <v>24.81483705480149</v>
      </c>
      <c r="O72" s="1">
        <f t="shared" si="72"/>
        <v>14.250032697803595</v>
      </c>
      <c r="P72" s="1">
        <f t="shared" si="73"/>
        <v>19.532434876302542</v>
      </c>
      <c r="Q72">
        <v>15</v>
      </c>
      <c r="S72">
        <f t="shared" si="74"/>
        <v>1</v>
      </c>
      <c r="T72" s="1">
        <f t="shared" si="75"/>
        <v>0.54937181337064767</v>
      </c>
      <c r="U72" s="1">
        <f t="shared" si="76"/>
        <v>0.58479998094819008</v>
      </c>
      <c r="V72" s="1">
        <f t="shared" si="77"/>
        <v>1</v>
      </c>
      <c r="W72" s="1">
        <f t="shared" si="78"/>
        <v>0.58479998094819008</v>
      </c>
      <c r="X72" s="1">
        <f t="shared" si="79"/>
        <v>0.65384202815608661</v>
      </c>
      <c r="Y72">
        <v>0.95</v>
      </c>
      <c r="Z72" s="1">
        <f t="shared" si="80"/>
        <v>10.734175396804924</v>
      </c>
      <c r="AA72" s="1">
        <f t="shared" si="81"/>
        <v>0.19238254470776356</v>
      </c>
      <c r="AB72" s="1">
        <f t="shared" si="82"/>
        <v>0.46508729329309451</v>
      </c>
      <c r="AD72" s="1">
        <v>15</v>
      </c>
      <c r="AE72" s="1">
        <v>0.98</v>
      </c>
      <c r="AF72" s="1">
        <f t="shared" si="68"/>
        <v>14.7</v>
      </c>
      <c r="AG72" s="1">
        <f t="shared" si="98"/>
        <v>0.28823529411764703</v>
      </c>
      <c r="AH72" s="1">
        <v>0.34</v>
      </c>
      <c r="AI72" s="1">
        <v>0.45</v>
      </c>
      <c r="AJ72" s="1">
        <v>6</v>
      </c>
      <c r="AK72" s="1"/>
      <c r="AL72" s="1"/>
      <c r="AN72" s="1">
        <f t="shared" si="83"/>
        <v>0.98</v>
      </c>
      <c r="AO72" s="1">
        <f t="shared" si="84"/>
        <v>0.9472269571013856</v>
      </c>
      <c r="AP72" s="1">
        <f t="shared" si="85"/>
        <v>0.9472269571013856</v>
      </c>
      <c r="AQ72" s="1">
        <f t="shared" si="86"/>
        <v>0.34</v>
      </c>
      <c r="AR72" s="1">
        <f t="shared" si="87"/>
        <v>0.73684210526315785</v>
      </c>
      <c r="AS72" s="1">
        <f t="shared" si="88"/>
        <v>0.56209665848600399</v>
      </c>
      <c r="AT72" s="1">
        <f t="shared" si="89"/>
        <v>0.78909443970722259</v>
      </c>
      <c r="AU72" s="11">
        <f t="shared" si="90"/>
        <v>0.36699779711606312</v>
      </c>
      <c r="AW72" s="1">
        <v>63</v>
      </c>
      <c r="AX72" s="12">
        <v>48</v>
      </c>
      <c r="AZ72" s="11">
        <f t="shared" si="91"/>
        <v>0.96923076923076923</v>
      </c>
      <c r="BA72" s="11">
        <f t="shared" si="92"/>
        <v>0.96923076923076923</v>
      </c>
      <c r="BB72" s="11">
        <f t="shared" si="93"/>
        <v>0.13496932515337423</v>
      </c>
      <c r="BC72" s="11">
        <f t="shared" si="94"/>
        <v>0.13496932515337423</v>
      </c>
      <c r="BD72" s="11">
        <f t="shared" si="95"/>
        <v>0.55115744016567758</v>
      </c>
      <c r="BF72" s="11">
        <f t="shared" si="96"/>
        <v>0.32063124720607017</v>
      </c>
      <c r="BG72" s="11">
        <f t="shared" si="97"/>
        <v>0.43975489534735268</v>
      </c>
      <c r="BI72" s="11">
        <v>0.43975489534735268</v>
      </c>
      <c r="BJ72" s="11">
        <v>0.59273045935666535</v>
      </c>
      <c r="BK72" s="11">
        <v>0.16576427412361536</v>
      </c>
      <c r="BM72" s="11">
        <f t="shared" si="100"/>
        <v>0.35915573431997588</v>
      </c>
      <c r="BN72" s="11">
        <f t="shared" si="99"/>
        <v>0.41269718172323533</v>
      </c>
      <c r="BP72" s="11">
        <f t="shared" si="66"/>
        <v>0.57735157448074703</v>
      </c>
      <c r="BQ72" s="11">
        <f t="shared" si="67"/>
        <v>0.65585762195433228</v>
      </c>
    </row>
    <row r="73" spans="1:69" x14ac:dyDescent="0.35">
      <c r="A73" t="s">
        <v>103</v>
      </c>
      <c r="B73" t="s">
        <v>107</v>
      </c>
      <c r="C73">
        <v>10</v>
      </c>
      <c r="D73" t="s">
        <v>53</v>
      </c>
      <c r="E73" t="s">
        <v>94</v>
      </c>
      <c r="F73">
        <v>1</v>
      </c>
      <c r="G73">
        <v>1.32</v>
      </c>
      <c r="H73">
        <v>1</v>
      </c>
      <c r="I73">
        <f t="shared" si="69"/>
        <v>1.32</v>
      </c>
      <c r="J73">
        <v>0.75</v>
      </c>
      <c r="K73">
        <v>1</v>
      </c>
      <c r="L73">
        <f t="shared" si="70"/>
        <v>0.75</v>
      </c>
      <c r="M73">
        <v>3</v>
      </c>
      <c r="N73" s="1">
        <f t="shared" si="71"/>
        <v>24.81483705480149</v>
      </c>
      <c r="O73" s="1">
        <f t="shared" si="72"/>
        <v>14.250032697803595</v>
      </c>
      <c r="P73" s="1">
        <f t="shared" si="73"/>
        <v>19.532434876302542</v>
      </c>
      <c r="Q73">
        <v>10</v>
      </c>
      <c r="S73">
        <f t="shared" si="74"/>
        <v>1</v>
      </c>
      <c r="T73" s="1">
        <f t="shared" si="75"/>
        <v>0.54937181337064767</v>
      </c>
      <c r="U73" s="1">
        <f t="shared" si="76"/>
        <v>0.58479998094819008</v>
      </c>
      <c r="V73" s="1">
        <f t="shared" si="77"/>
        <v>1</v>
      </c>
      <c r="W73" s="1">
        <f t="shared" si="78"/>
        <v>0.58479998094819008</v>
      </c>
      <c r="X73" s="1">
        <f t="shared" si="79"/>
        <v>0.65384202815608661</v>
      </c>
      <c r="Y73">
        <v>0.9</v>
      </c>
      <c r="Z73" s="1">
        <f t="shared" si="80"/>
        <v>6.5132155989999996</v>
      </c>
      <c r="AA73" s="1">
        <f t="shared" si="81"/>
        <v>0.11673267343282748</v>
      </c>
      <c r="AB73" s="1">
        <f t="shared" si="82"/>
        <v>0.38084230151788057</v>
      </c>
      <c r="AD73" s="1">
        <v>10</v>
      </c>
      <c r="AE73" s="1">
        <v>0.98</v>
      </c>
      <c r="AF73" s="1">
        <f t="shared" si="68"/>
        <v>9.8000000000000007</v>
      </c>
      <c r="AG73" s="1">
        <f t="shared" si="98"/>
        <v>0.19215686274509805</v>
      </c>
      <c r="AH73" s="1">
        <v>0.34</v>
      </c>
      <c r="AI73" s="1">
        <v>0.45</v>
      </c>
      <c r="AJ73" s="1">
        <v>6</v>
      </c>
      <c r="AK73" s="1"/>
      <c r="AL73" s="1"/>
      <c r="AN73" s="1">
        <f t="shared" si="83"/>
        <v>0.98000000000000009</v>
      </c>
      <c r="AO73" s="1">
        <f t="shared" si="84"/>
        <v>0.94706998446526547</v>
      </c>
      <c r="AP73" s="1">
        <f t="shared" si="85"/>
        <v>0.94706998446526547</v>
      </c>
      <c r="AQ73" s="1">
        <f t="shared" si="86"/>
        <v>0.34</v>
      </c>
      <c r="AR73" s="1">
        <f t="shared" si="87"/>
        <v>0.73684210526315785</v>
      </c>
      <c r="AS73" s="1">
        <f t="shared" si="88"/>
        <v>0.56209665848600399</v>
      </c>
      <c r="AT73" s="1">
        <f t="shared" si="89"/>
        <v>0.78900943855007732</v>
      </c>
      <c r="AU73" s="11">
        <f t="shared" si="90"/>
        <v>0.3004881704967422</v>
      </c>
      <c r="AW73" s="1">
        <v>63</v>
      </c>
      <c r="AX73" s="12">
        <v>48</v>
      </c>
      <c r="AZ73" s="11">
        <f t="shared" si="91"/>
        <v>0.96923076923076923</v>
      </c>
      <c r="BA73" s="11">
        <f t="shared" si="92"/>
        <v>0.96923076923076923</v>
      </c>
      <c r="BB73" s="11">
        <f t="shared" si="93"/>
        <v>0.13496932515337423</v>
      </c>
      <c r="BC73" s="11">
        <f t="shared" si="94"/>
        <v>0.13496932515337423</v>
      </c>
      <c r="BD73" s="11">
        <f t="shared" si="95"/>
        <v>0.55115744016567758</v>
      </c>
      <c r="BF73" s="11">
        <f t="shared" si="96"/>
        <v>0.26252445555298876</v>
      </c>
      <c r="BG73" s="11">
        <f t="shared" si="97"/>
        <v>0.36005977422290264</v>
      </c>
      <c r="BI73" s="11">
        <v>0.36005977422290264</v>
      </c>
      <c r="BJ73" s="11">
        <v>0.59273045935666535</v>
      </c>
      <c r="BK73" s="11">
        <v>0.16576427412361536</v>
      </c>
      <c r="BM73" s="11">
        <f t="shared" si="100"/>
        <v>0.31532341770152839</v>
      </c>
      <c r="BN73" s="11">
        <f t="shared" si="99"/>
        <v>0.39675815749834537</v>
      </c>
      <c r="BP73" s="11">
        <f t="shared" si="66"/>
        <v>0.50689005989372582</v>
      </c>
      <c r="BQ73" s="11">
        <f t="shared" si="67"/>
        <v>0.63052735320677555</v>
      </c>
    </row>
    <row r="74" spans="1:69" x14ac:dyDescent="0.35">
      <c r="A74" t="s">
        <v>103</v>
      </c>
      <c r="B74" t="s">
        <v>112</v>
      </c>
      <c r="C74">
        <v>60</v>
      </c>
      <c r="D74" t="s">
        <v>53</v>
      </c>
      <c r="E74" t="s">
        <v>108</v>
      </c>
      <c r="F74">
        <v>1</v>
      </c>
      <c r="G74">
        <v>0.38</v>
      </c>
      <c r="H74">
        <v>1</v>
      </c>
      <c r="I74">
        <f t="shared" si="69"/>
        <v>0.38</v>
      </c>
      <c r="J74">
        <v>0.22</v>
      </c>
      <c r="K74">
        <v>1</v>
      </c>
      <c r="L74">
        <f t="shared" si="70"/>
        <v>0.22</v>
      </c>
      <c r="M74">
        <v>0.5</v>
      </c>
      <c r="N74" s="1">
        <f t="shared" si="71"/>
        <v>41.61358202542246</v>
      </c>
      <c r="O74" s="1">
        <f t="shared" si="72"/>
        <v>24.81483705480149</v>
      </c>
      <c r="P74" s="1">
        <f t="shared" si="73"/>
        <v>33.214209540111973</v>
      </c>
      <c r="Q74">
        <v>60</v>
      </c>
      <c r="S74">
        <f t="shared" si="74"/>
        <v>1</v>
      </c>
      <c r="T74" s="1">
        <f t="shared" si="75"/>
        <v>0.93418719377694404</v>
      </c>
      <c r="U74" s="1">
        <f t="shared" si="76"/>
        <v>0.77568400063408605</v>
      </c>
      <c r="V74" s="1">
        <f t="shared" si="77"/>
        <v>1</v>
      </c>
      <c r="W74" s="1">
        <f t="shared" si="78"/>
        <v>0.77568400063408605</v>
      </c>
      <c r="X74" s="1">
        <f t="shared" si="79"/>
        <v>0.86726199847080832</v>
      </c>
      <c r="Y74">
        <v>0.98</v>
      </c>
      <c r="Z74" s="1">
        <f t="shared" si="80"/>
        <v>35.122342865393968</v>
      </c>
      <c r="AA74" s="1">
        <f t="shared" si="81"/>
        <v>0.62947785430768022</v>
      </c>
      <c r="AB74" s="1">
        <f t="shared" si="82"/>
        <v>0.80191763017350859</v>
      </c>
      <c r="AD74" s="1">
        <v>60</v>
      </c>
      <c r="AE74" s="1">
        <v>0.75</v>
      </c>
      <c r="AF74" s="1">
        <f t="shared" si="68"/>
        <v>45</v>
      </c>
      <c r="AG74" s="1">
        <f t="shared" si="98"/>
        <v>0.88235294117647056</v>
      </c>
      <c r="AH74" s="1">
        <v>0.72</v>
      </c>
      <c r="AI74" s="1">
        <v>0.7</v>
      </c>
      <c r="AJ74" s="1">
        <v>1.5</v>
      </c>
      <c r="AK74" s="1"/>
      <c r="AL74" s="1"/>
      <c r="AN74" s="1">
        <f t="shared" si="83"/>
        <v>0.75</v>
      </c>
      <c r="AO74" s="1">
        <f t="shared" si="84"/>
        <v>0.90995153181399435</v>
      </c>
      <c r="AP74" s="1">
        <f t="shared" si="85"/>
        <v>0.90995153181399435</v>
      </c>
      <c r="AQ74" s="1">
        <f t="shared" si="86"/>
        <v>0.72</v>
      </c>
      <c r="AR74" s="1">
        <f t="shared" si="87"/>
        <v>0.90909090909090906</v>
      </c>
      <c r="AS74" s="1">
        <f t="shared" si="88"/>
        <v>0.83784007306318942</v>
      </c>
      <c r="AT74" s="1">
        <f t="shared" si="89"/>
        <v>0.88403256673888087</v>
      </c>
      <c r="AU74" s="11">
        <f t="shared" si="90"/>
        <v>0.70892130091544736</v>
      </c>
      <c r="AW74" s="1">
        <v>52</v>
      </c>
      <c r="AX74" s="12">
        <v>15</v>
      </c>
      <c r="AZ74" s="11">
        <f t="shared" si="91"/>
        <v>0.8</v>
      </c>
      <c r="BA74" s="11">
        <f t="shared" si="92"/>
        <v>0.8</v>
      </c>
      <c r="BB74" s="11">
        <f t="shared" si="93"/>
        <v>3.3742331288343558E-2</v>
      </c>
      <c r="BC74" s="11">
        <f t="shared" si="94"/>
        <v>3.3742331288343558E-2</v>
      </c>
      <c r="BD74" s="11">
        <f t="shared" si="95"/>
        <v>0.74220764493282787</v>
      </c>
      <c r="BF74" s="11">
        <f t="shared" si="96"/>
        <v>0.62865021836329904</v>
      </c>
      <c r="BG74" s="11">
        <f t="shared" si="97"/>
        <v>0.86221169457250957</v>
      </c>
      <c r="BI74" s="11">
        <v>0.86221169457250957</v>
      </c>
      <c r="BJ74" s="11">
        <v>0.59273045935666535</v>
      </c>
      <c r="BK74" s="11">
        <v>0.11891820298110627</v>
      </c>
      <c r="BM74" s="11">
        <f t="shared" si="100"/>
        <v>0.57511084899393394</v>
      </c>
      <c r="BN74" s="11">
        <f t="shared" si="99"/>
        <v>0.48079241666838851</v>
      </c>
      <c r="BP74" s="11">
        <f t="shared" si="66"/>
        <v>0.92450467147988702</v>
      </c>
      <c r="BQ74" s="11">
        <f t="shared" si="67"/>
        <v>0.76407444735417307</v>
      </c>
    </row>
    <row r="75" spans="1:69" x14ac:dyDescent="0.35">
      <c r="A75" t="s">
        <v>103</v>
      </c>
      <c r="B75" t="s">
        <v>112</v>
      </c>
      <c r="C75">
        <v>45</v>
      </c>
      <c r="D75" t="s">
        <v>53</v>
      </c>
      <c r="E75" t="s">
        <v>109</v>
      </c>
      <c r="F75">
        <v>1</v>
      </c>
      <c r="G75">
        <v>0.38</v>
      </c>
      <c r="H75">
        <v>1</v>
      </c>
      <c r="I75">
        <f t="shared" si="69"/>
        <v>0.38</v>
      </c>
      <c r="J75">
        <v>0.22</v>
      </c>
      <c r="K75">
        <v>1</v>
      </c>
      <c r="L75">
        <f t="shared" si="70"/>
        <v>0.22</v>
      </c>
      <c r="M75">
        <v>0.5</v>
      </c>
      <c r="N75" s="1">
        <f t="shared" si="71"/>
        <v>41.61358202542246</v>
      </c>
      <c r="O75" s="1">
        <f t="shared" si="72"/>
        <v>24.81483705480149</v>
      </c>
      <c r="P75" s="1">
        <f t="shared" si="73"/>
        <v>33.214209540111973</v>
      </c>
      <c r="Q75">
        <v>45</v>
      </c>
      <c r="S75">
        <f t="shared" si="74"/>
        <v>1</v>
      </c>
      <c r="T75" s="1">
        <f t="shared" si="75"/>
        <v>0.93418719377694404</v>
      </c>
      <c r="U75" s="1">
        <f t="shared" si="76"/>
        <v>0.77568400063408605</v>
      </c>
      <c r="V75" s="1">
        <f t="shared" si="77"/>
        <v>1</v>
      </c>
      <c r="W75" s="1">
        <f t="shared" si="78"/>
        <v>0.77568400063408605</v>
      </c>
      <c r="X75" s="1">
        <f t="shared" si="79"/>
        <v>0.86726199847080832</v>
      </c>
      <c r="Y75">
        <v>0.98</v>
      </c>
      <c r="Z75" s="1">
        <f t="shared" si="80"/>
        <v>29.856106786328724</v>
      </c>
      <c r="AA75" s="1">
        <f t="shared" si="81"/>
        <v>0.5350940883945603</v>
      </c>
      <c r="AB75" s="1">
        <f t="shared" si="82"/>
        <v>0.75146652720339424</v>
      </c>
      <c r="AD75" s="1">
        <v>45</v>
      </c>
      <c r="AE75" s="1">
        <v>0.78</v>
      </c>
      <c r="AF75" s="1">
        <f t="shared" si="68"/>
        <v>35.1</v>
      </c>
      <c r="AG75" s="1">
        <f t="shared" si="98"/>
        <v>0.68823529411764706</v>
      </c>
      <c r="AH75" s="1">
        <v>0.72</v>
      </c>
      <c r="AI75" s="1">
        <v>0.7</v>
      </c>
      <c r="AJ75" s="1">
        <v>1.5</v>
      </c>
      <c r="AK75" s="1"/>
      <c r="AL75" s="1"/>
      <c r="AN75" s="1">
        <f t="shared" si="83"/>
        <v>0.78</v>
      </c>
      <c r="AO75" s="1">
        <f t="shared" si="84"/>
        <v>0.91576055372601928</v>
      </c>
      <c r="AP75" s="1">
        <f t="shared" si="85"/>
        <v>0.91576055372601928</v>
      </c>
      <c r="AQ75" s="1">
        <f t="shared" si="86"/>
        <v>0.72</v>
      </c>
      <c r="AR75" s="1">
        <f t="shared" si="87"/>
        <v>0.90909090909090906</v>
      </c>
      <c r="AS75" s="1">
        <f t="shared" si="88"/>
        <v>0.83784007306318942</v>
      </c>
      <c r="AT75" s="1">
        <f t="shared" si="89"/>
        <v>0.88769679322262718</v>
      </c>
      <c r="AU75" s="11">
        <f t="shared" si="90"/>
        <v>0.66707442641259718</v>
      </c>
      <c r="AW75" s="1">
        <v>52</v>
      </c>
      <c r="AX75" s="12">
        <v>15</v>
      </c>
      <c r="AZ75" s="11">
        <f t="shared" si="91"/>
        <v>0.8</v>
      </c>
      <c r="BA75" s="11">
        <f t="shared" si="92"/>
        <v>0.8</v>
      </c>
      <c r="BB75" s="11">
        <f t="shared" si="93"/>
        <v>3.3742331288343558E-2</v>
      </c>
      <c r="BC75" s="11">
        <f t="shared" si="94"/>
        <v>3.3742331288343558E-2</v>
      </c>
      <c r="BD75" s="11">
        <f t="shared" si="95"/>
        <v>0.74220764493282787</v>
      </c>
      <c r="BF75" s="11">
        <f t="shared" si="96"/>
        <v>0.59154166095351679</v>
      </c>
      <c r="BG75" s="11">
        <f t="shared" si="97"/>
        <v>0.8113162502811988</v>
      </c>
      <c r="BI75" s="11">
        <v>0.8113162502811988</v>
      </c>
      <c r="BJ75" s="11">
        <v>0.59273045935666535</v>
      </c>
      <c r="BK75" s="11">
        <v>0.11891820298110627</v>
      </c>
      <c r="BM75" s="11">
        <f t="shared" si="100"/>
        <v>0.54711835463371306</v>
      </c>
      <c r="BN75" s="11">
        <f t="shared" si="99"/>
        <v>0.47061332781012638</v>
      </c>
      <c r="BP75" s="11">
        <f t="shared" si="66"/>
        <v>0.87950605626045553</v>
      </c>
      <c r="BQ75" s="11">
        <f t="shared" si="67"/>
        <v>0.74789785757382721</v>
      </c>
    </row>
    <row r="76" spans="1:69" x14ac:dyDescent="0.35">
      <c r="A76" t="s">
        <v>103</v>
      </c>
      <c r="B76" t="s">
        <v>112</v>
      </c>
      <c r="C76">
        <v>40</v>
      </c>
      <c r="D76" t="s">
        <v>53</v>
      </c>
      <c r="E76" t="s">
        <v>110</v>
      </c>
      <c r="F76">
        <v>1</v>
      </c>
      <c r="G76">
        <v>0.38</v>
      </c>
      <c r="H76">
        <v>1</v>
      </c>
      <c r="I76">
        <f t="shared" si="69"/>
        <v>0.38</v>
      </c>
      <c r="J76">
        <v>0.22</v>
      </c>
      <c r="K76">
        <v>1</v>
      </c>
      <c r="L76">
        <f t="shared" si="70"/>
        <v>0.22</v>
      </c>
      <c r="M76">
        <v>0.5</v>
      </c>
      <c r="N76" s="1">
        <f t="shared" si="71"/>
        <v>41.61358202542246</v>
      </c>
      <c r="O76" s="1">
        <f t="shared" si="72"/>
        <v>24.81483705480149</v>
      </c>
      <c r="P76" s="1">
        <f t="shared" si="73"/>
        <v>33.214209540111973</v>
      </c>
      <c r="Q76">
        <v>40</v>
      </c>
      <c r="S76">
        <f t="shared" si="74"/>
        <v>1</v>
      </c>
      <c r="T76" s="1">
        <f t="shared" si="75"/>
        <v>0.93418719377694404</v>
      </c>
      <c r="U76" s="1">
        <f t="shared" si="76"/>
        <v>0.77568400063408605</v>
      </c>
      <c r="V76" s="1">
        <f t="shared" si="77"/>
        <v>1</v>
      </c>
      <c r="W76" s="1">
        <f t="shared" si="78"/>
        <v>0.77568400063408605</v>
      </c>
      <c r="X76" s="1">
        <f t="shared" si="79"/>
        <v>0.86726199847080832</v>
      </c>
      <c r="Y76">
        <v>0.98</v>
      </c>
      <c r="Z76" s="1">
        <f t="shared" si="80"/>
        <v>27.714979802452454</v>
      </c>
      <c r="AA76" s="1">
        <f t="shared" si="81"/>
        <v>0.49671988241473408</v>
      </c>
      <c r="AB76" s="1">
        <f t="shared" si="82"/>
        <v>0.7294276080282307</v>
      </c>
      <c r="AD76" s="1">
        <v>40</v>
      </c>
      <c r="AE76" s="1">
        <v>0.8</v>
      </c>
      <c r="AF76" s="1">
        <f t="shared" si="68"/>
        <v>32</v>
      </c>
      <c r="AG76" s="1">
        <f t="shared" si="98"/>
        <v>0.62745098039215685</v>
      </c>
      <c r="AH76" s="1">
        <v>0.72</v>
      </c>
      <c r="AI76" s="1">
        <v>0.7</v>
      </c>
      <c r="AJ76" s="1">
        <v>1.5</v>
      </c>
      <c r="AK76" s="1"/>
      <c r="AL76" s="1"/>
      <c r="AN76" s="1">
        <f t="shared" si="83"/>
        <v>0.8</v>
      </c>
      <c r="AO76" s="1">
        <f t="shared" si="84"/>
        <v>0.91931266979270077</v>
      </c>
      <c r="AP76" s="1">
        <f t="shared" si="85"/>
        <v>0.91931266979270077</v>
      </c>
      <c r="AQ76" s="1">
        <f t="shared" si="86"/>
        <v>0.72</v>
      </c>
      <c r="AR76" s="1">
        <f t="shared" si="87"/>
        <v>0.90909090909090906</v>
      </c>
      <c r="AS76" s="1">
        <f t="shared" si="88"/>
        <v>0.83784007306318942</v>
      </c>
      <c r="AT76" s="1">
        <f t="shared" si="89"/>
        <v>0.88993339588169329</v>
      </c>
      <c r="AU76" s="11">
        <f t="shared" si="90"/>
        <v>0.64914198826242409</v>
      </c>
      <c r="AW76" s="1">
        <v>52</v>
      </c>
      <c r="AX76" s="12">
        <v>15</v>
      </c>
      <c r="AZ76" s="11">
        <f t="shared" si="91"/>
        <v>0.8</v>
      </c>
      <c r="BA76" s="11">
        <f t="shared" si="92"/>
        <v>0.8</v>
      </c>
      <c r="BB76" s="11">
        <f t="shared" si="93"/>
        <v>3.3742331288343558E-2</v>
      </c>
      <c r="BC76" s="11">
        <f t="shared" si="94"/>
        <v>3.3742331288343558E-2</v>
      </c>
      <c r="BD76" s="11">
        <f t="shared" si="95"/>
        <v>0.74220764493282787</v>
      </c>
      <c r="BF76" s="11">
        <f t="shared" si="96"/>
        <v>0.57563971084377219</v>
      </c>
      <c r="BG76" s="11">
        <f t="shared" si="97"/>
        <v>0.78950627241015503</v>
      </c>
      <c r="BI76" s="11">
        <v>0.78950627241015503</v>
      </c>
      <c r="BJ76" s="11">
        <v>0.59273045935666535</v>
      </c>
      <c r="BK76" s="11">
        <v>0.11891820298110627</v>
      </c>
      <c r="BM76" s="11">
        <f t="shared" si="100"/>
        <v>0.53512286680463894</v>
      </c>
      <c r="BN76" s="11">
        <f t="shared" si="99"/>
        <v>0.46625133223591764</v>
      </c>
      <c r="BP76" s="11">
        <f t="shared" si="66"/>
        <v>0.86022301794869505</v>
      </c>
      <c r="BQ76" s="11">
        <f t="shared" si="67"/>
        <v>0.74096578202068131</v>
      </c>
    </row>
    <row r="77" spans="1:69" x14ac:dyDescent="0.35">
      <c r="A77" t="s">
        <v>103</v>
      </c>
      <c r="B77" t="s">
        <v>112</v>
      </c>
      <c r="C77">
        <v>35</v>
      </c>
      <c r="D77" t="s">
        <v>53</v>
      </c>
      <c r="E77" t="s">
        <v>111</v>
      </c>
      <c r="F77">
        <v>1</v>
      </c>
      <c r="G77">
        <v>0.38</v>
      </c>
      <c r="H77">
        <v>1</v>
      </c>
      <c r="I77">
        <f t="shared" si="69"/>
        <v>0.38</v>
      </c>
      <c r="J77">
        <v>0.22</v>
      </c>
      <c r="K77">
        <v>1</v>
      </c>
      <c r="L77">
        <f t="shared" si="70"/>
        <v>0.22</v>
      </c>
      <c r="M77">
        <v>0.5</v>
      </c>
      <c r="N77" s="1">
        <f t="shared" si="71"/>
        <v>41.61358202542246</v>
      </c>
      <c r="O77" s="1">
        <f t="shared" si="72"/>
        <v>24.81483705480149</v>
      </c>
      <c r="P77" s="1">
        <f t="shared" si="73"/>
        <v>33.214209540111973</v>
      </c>
      <c r="Q77">
        <v>35</v>
      </c>
      <c r="S77">
        <f t="shared" si="74"/>
        <v>1</v>
      </c>
      <c r="T77" s="1">
        <f t="shared" si="75"/>
        <v>0.93418719377694404</v>
      </c>
      <c r="U77" s="1">
        <f t="shared" si="76"/>
        <v>0.77568400063408605</v>
      </c>
      <c r="V77" s="1">
        <f t="shared" si="77"/>
        <v>1</v>
      </c>
      <c r="W77" s="1">
        <f t="shared" si="78"/>
        <v>0.77568400063408605</v>
      </c>
      <c r="X77" s="1">
        <f t="shared" si="79"/>
        <v>0.86726199847080832</v>
      </c>
      <c r="Y77">
        <v>0.97499999999999998</v>
      </c>
      <c r="Z77" s="1">
        <f t="shared" si="80"/>
        <v>23.509966391823994</v>
      </c>
      <c r="AA77" s="1">
        <f t="shared" si="81"/>
        <v>0.42135580920350546</v>
      </c>
      <c r="AB77" s="1">
        <f t="shared" si="82"/>
        <v>0.68296299604784683</v>
      </c>
      <c r="AD77" s="1">
        <v>35</v>
      </c>
      <c r="AE77" s="1">
        <v>0.8</v>
      </c>
      <c r="AF77" s="1">
        <f t="shared" si="68"/>
        <v>28</v>
      </c>
      <c r="AG77" s="1">
        <f t="shared" si="98"/>
        <v>0.5490196078431373</v>
      </c>
      <c r="AH77" s="1">
        <v>0.72</v>
      </c>
      <c r="AI77" s="1">
        <v>0.7</v>
      </c>
      <c r="AJ77" s="1">
        <v>1.5</v>
      </c>
      <c r="AK77" s="1"/>
      <c r="AL77" s="1"/>
      <c r="AN77" s="1">
        <f t="shared" si="83"/>
        <v>0.8</v>
      </c>
      <c r="AO77" s="1">
        <f t="shared" si="84"/>
        <v>0.918858689165165</v>
      </c>
      <c r="AP77" s="1">
        <f t="shared" si="85"/>
        <v>0.918858689165165</v>
      </c>
      <c r="AQ77" s="1">
        <f t="shared" si="86"/>
        <v>0.72</v>
      </c>
      <c r="AR77" s="1">
        <f t="shared" si="87"/>
        <v>0.90909090909090906</v>
      </c>
      <c r="AS77" s="1">
        <f t="shared" si="88"/>
        <v>0.83784007306318942</v>
      </c>
      <c r="AT77" s="1">
        <f t="shared" si="89"/>
        <v>0.88964771414668531</v>
      </c>
      <c r="AU77" s="11">
        <f t="shared" si="90"/>
        <v>0.60759646828073866</v>
      </c>
      <c r="AW77" s="1">
        <v>52</v>
      </c>
      <c r="AX77" s="12">
        <v>15</v>
      </c>
      <c r="AZ77" s="11">
        <f t="shared" si="91"/>
        <v>0.8</v>
      </c>
      <c r="BA77" s="11">
        <f t="shared" si="92"/>
        <v>0.8</v>
      </c>
      <c r="BB77" s="11">
        <f t="shared" si="93"/>
        <v>3.3742331288343558E-2</v>
      </c>
      <c r="BC77" s="11">
        <f t="shared" si="94"/>
        <v>3.3742331288343558E-2</v>
      </c>
      <c r="BD77" s="11">
        <f t="shared" si="95"/>
        <v>0.74220764493282787</v>
      </c>
      <c r="BF77" s="11">
        <f t="shared" si="96"/>
        <v>0.53879838561517912</v>
      </c>
      <c r="BG77" s="11">
        <f t="shared" si="97"/>
        <v>0.73897734467297405</v>
      </c>
      <c r="BI77" s="11">
        <v>0.73897734467297405</v>
      </c>
      <c r="BJ77" s="11">
        <v>0.59273045935666535</v>
      </c>
      <c r="BK77" s="11">
        <v>0.11891820298110627</v>
      </c>
      <c r="BM77" s="11">
        <f t="shared" si="100"/>
        <v>0.50733195654918939</v>
      </c>
      <c r="BN77" s="11">
        <f t="shared" si="99"/>
        <v>0.45614554668848145</v>
      </c>
      <c r="BP77" s="11">
        <f t="shared" si="66"/>
        <v>0.81554845407846555</v>
      </c>
      <c r="BQ77" s="11">
        <f t="shared" si="67"/>
        <v>0.72490568573059599</v>
      </c>
    </row>
    <row r="78" spans="1:69" x14ac:dyDescent="0.35">
      <c r="A78" t="s">
        <v>103</v>
      </c>
      <c r="B78" t="s">
        <v>112</v>
      </c>
      <c r="C78">
        <v>30</v>
      </c>
      <c r="D78" t="s">
        <v>53</v>
      </c>
      <c r="E78" t="s">
        <v>91</v>
      </c>
      <c r="F78">
        <v>1</v>
      </c>
      <c r="G78">
        <v>0.38</v>
      </c>
      <c r="H78">
        <v>1</v>
      </c>
      <c r="I78">
        <f t="shared" si="69"/>
        <v>0.38</v>
      </c>
      <c r="J78">
        <v>0.22</v>
      </c>
      <c r="K78">
        <v>1</v>
      </c>
      <c r="L78">
        <f t="shared" si="70"/>
        <v>0.22</v>
      </c>
      <c r="M78">
        <v>0.5</v>
      </c>
      <c r="N78" s="1">
        <f t="shared" si="71"/>
        <v>41.61358202542246</v>
      </c>
      <c r="O78" s="1">
        <f t="shared" si="72"/>
        <v>24.81483705480149</v>
      </c>
      <c r="P78" s="1">
        <f t="shared" si="73"/>
        <v>33.214209540111973</v>
      </c>
      <c r="Q78">
        <v>30</v>
      </c>
      <c r="S78">
        <f t="shared" si="74"/>
        <v>1</v>
      </c>
      <c r="T78" s="1">
        <f t="shared" si="75"/>
        <v>0.93418719377694404</v>
      </c>
      <c r="U78" s="1">
        <f t="shared" si="76"/>
        <v>0.77568400063408605</v>
      </c>
      <c r="V78" s="1">
        <f t="shared" si="77"/>
        <v>1</v>
      </c>
      <c r="W78" s="1">
        <f t="shared" si="78"/>
        <v>0.77568400063408605</v>
      </c>
      <c r="X78" s="1">
        <f t="shared" si="79"/>
        <v>0.86726199847080832</v>
      </c>
      <c r="Y78">
        <v>0.97</v>
      </c>
      <c r="Z78" s="1">
        <f t="shared" si="80"/>
        <v>19.966431048561397</v>
      </c>
      <c r="AA78" s="1">
        <f t="shared" si="81"/>
        <v>0.35784703266519102</v>
      </c>
      <c r="AB78" s="1">
        <f t="shared" si="82"/>
        <v>0.63975921094637833</v>
      </c>
      <c r="AD78" s="1">
        <v>30</v>
      </c>
      <c r="AE78" s="1">
        <v>0.8</v>
      </c>
      <c r="AF78" s="1">
        <f t="shared" si="68"/>
        <v>24</v>
      </c>
      <c r="AG78" s="1">
        <f t="shared" si="98"/>
        <v>0.47058823529411764</v>
      </c>
      <c r="AH78" s="1">
        <v>0.72</v>
      </c>
      <c r="AI78" s="1">
        <v>0.7</v>
      </c>
      <c r="AJ78" s="1">
        <v>1.5</v>
      </c>
      <c r="AK78" s="1"/>
      <c r="AL78" s="1"/>
      <c r="AN78" s="1">
        <f t="shared" si="83"/>
        <v>0.8</v>
      </c>
      <c r="AO78" s="1">
        <f t="shared" si="84"/>
        <v>0.918403174696378</v>
      </c>
      <c r="AP78" s="1">
        <f t="shared" si="85"/>
        <v>0.918403174696378</v>
      </c>
      <c r="AQ78" s="1">
        <f t="shared" si="86"/>
        <v>0.72</v>
      </c>
      <c r="AR78" s="1">
        <f t="shared" si="87"/>
        <v>0.90909090909090906</v>
      </c>
      <c r="AS78" s="1">
        <f t="shared" si="88"/>
        <v>0.83784007306318942</v>
      </c>
      <c r="AT78" s="1">
        <f t="shared" si="89"/>
        <v>0.88936101753696917</v>
      </c>
      <c r="AU78" s="11">
        <f t="shared" si="90"/>
        <v>0.56897690282591951</v>
      </c>
      <c r="AW78" s="1">
        <v>52</v>
      </c>
      <c r="AX78" s="12">
        <v>15</v>
      </c>
      <c r="AZ78" s="11">
        <f t="shared" si="91"/>
        <v>0.8</v>
      </c>
      <c r="BA78" s="11">
        <f t="shared" si="92"/>
        <v>0.8</v>
      </c>
      <c r="BB78" s="11">
        <f t="shared" si="93"/>
        <v>3.3742331288343558E-2</v>
      </c>
      <c r="BC78" s="11">
        <f t="shared" si="94"/>
        <v>3.3742331288343558E-2</v>
      </c>
      <c r="BD78" s="11">
        <f t="shared" si="95"/>
        <v>0.74220764493282787</v>
      </c>
      <c r="BF78" s="11">
        <f t="shared" si="96"/>
        <v>0.50455170939749916</v>
      </c>
      <c r="BG78" s="11">
        <f t="shared" si="97"/>
        <v>0.69200705201643409</v>
      </c>
      <c r="BI78" s="11">
        <v>0.69200705201643409</v>
      </c>
      <c r="BJ78" s="11">
        <v>0.59273045935666535</v>
      </c>
      <c r="BK78" s="11">
        <v>0.11891820298110627</v>
      </c>
      <c r="BM78" s="11">
        <f t="shared" si="100"/>
        <v>0.48149829558809248</v>
      </c>
      <c r="BN78" s="11">
        <f t="shared" si="99"/>
        <v>0.44675148815717342</v>
      </c>
      <c r="BP78" s="11">
        <f t="shared" si="66"/>
        <v>0.77402021603228399</v>
      </c>
      <c r="BQ78" s="11">
        <f t="shared" si="67"/>
        <v>0.70997666473966681</v>
      </c>
    </row>
    <row r="79" spans="1:69" x14ac:dyDescent="0.35">
      <c r="A79" t="s">
        <v>103</v>
      </c>
      <c r="B79" t="s">
        <v>112</v>
      </c>
      <c r="C79">
        <v>25</v>
      </c>
      <c r="D79" t="s">
        <v>53</v>
      </c>
      <c r="E79" t="s">
        <v>92</v>
      </c>
      <c r="F79">
        <v>1</v>
      </c>
      <c r="G79">
        <v>0.38</v>
      </c>
      <c r="H79">
        <v>1</v>
      </c>
      <c r="I79">
        <f t="shared" si="69"/>
        <v>0.38</v>
      </c>
      <c r="J79">
        <v>0.22</v>
      </c>
      <c r="K79">
        <v>1</v>
      </c>
      <c r="L79">
        <f t="shared" si="70"/>
        <v>0.22</v>
      </c>
      <c r="M79">
        <v>0.5</v>
      </c>
      <c r="N79" s="1">
        <f t="shared" si="71"/>
        <v>41.61358202542246</v>
      </c>
      <c r="O79" s="1">
        <f t="shared" si="72"/>
        <v>24.81483705480149</v>
      </c>
      <c r="P79" s="1">
        <f t="shared" si="73"/>
        <v>33.214209540111973</v>
      </c>
      <c r="Q79">
        <v>25</v>
      </c>
      <c r="S79">
        <f t="shared" si="74"/>
        <v>1</v>
      </c>
      <c r="T79" s="1">
        <f t="shared" si="75"/>
        <v>0.93418719377694404</v>
      </c>
      <c r="U79" s="1">
        <f t="shared" si="76"/>
        <v>0.77568400063408605</v>
      </c>
      <c r="V79" s="1">
        <f t="shared" si="77"/>
        <v>1</v>
      </c>
      <c r="W79" s="1">
        <f t="shared" si="78"/>
        <v>0.77568400063408605</v>
      </c>
      <c r="X79" s="1">
        <f t="shared" si="79"/>
        <v>0.86726199847080832</v>
      </c>
      <c r="Y79">
        <v>0.96499999999999997</v>
      </c>
      <c r="Z79" s="1">
        <f t="shared" si="80"/>
        <v>16.846376253405058</v>
      </c>
      <c r="AA79" s="1">
        <f t="shared" si="81"/>
        <v>0.30192805808811252</v>
      </c>
      <c r="AB79" s="1">
        <f t="shared" si="82"/>
        <v>0.59772162536814155</v>
      </c>
      <c r="AD79" s="1">
        <v>25</v>
      </c>
      <c r="AE79" s="1">
        <v>0.83</v>
      </c>
      <c r="AF79" s="1">
        <f t="shared" si="68"/>
        <v>20.75</v>
      </c>
      <c r="AG79" s="1">
        <f t="shared" si="98"/>
        <v>0.40686274509803921</v>
      </c>
      <c r="AH79" s="1">
        <v>0.72</v>
      </c>
      <c r="AI79" s="1">
        <v>0.7</v>
      </c>
      <c r="AJ79" s="1">
        <v>1.5</v>
      </c>
      <c r="AK79" s="1"/>
      <c r="AL79" s="1"/>
      <c r="AN79" s="1">
        <f t="shared" si="83"/>
        <v>0.83</v>
      </c>
      <c r="AO79" s="1">
        <f t="shared" si="84"/>
        <v>0.9233780553290839</v>
      </c>
      <c r="AP79" s="1">
        <f t="shared" si="85"/>
        <v>0.9233780553290839</v>
      </c>
      <c r="AQ79" s="1">
        <f t="shared" si="86"/>
        <v>0.72</v>
      </c>
      <c r="AR79" s="1">
        <f t="shared" si="87"/>
        <v>0.90909090909090906</v>
      </c>
      <c r="AS79" s="1">
        <f t="shared" si="88"/>
        <v>0.83784007306318942</v>
      </c>
      <c r="AT79" s="1">
        <f t="shared" si="89"/>
        <v>0.89248947208300811</v>
      </c>
      <c r="AU79" s="11">
        <f t="shared" si="90"/>
        <v>0.53346025787741025</v>
      </c>
      <c r="AW79" s="1">
        <v>52</v>
      </c>
      <c r="AX79" s="12">
        <v>15</v>
      </c>
      <c r="AZ79" s="11">
        <f t="shared" si="91"/>
        <v>0.8</v>
      </c>
      <c r="BA79" s="11">
        <f t="shared" si="92"/>
        <v>0.8</v>
      </c>
      <c r="BB79" s="11">
        <f t="shared" si="93"/>
        <v>3.3742331288343558E-2</v>
      </c>
      <c r="BC79" s="11">
        <f t="shared" si="94"/>
        <v>3.3742331288343558E-2</v>
      </c>
      <c r="BD79" s="11">
        <f t="shared" si="95"/>
        <v>0.74220764493282787</v>
      </c>
      <c r="BF79" s="11">
        <f t="shared" si="96"/>
        <v>0.47305661033138274</v>
      </c>
      <c r="BG79" s="11">
        <f t="shared" si="97"/>
        <v>0.64881062585877691</v>
      </c>
      <c r="BI79" s="11">
        <v>0.64881062585877691</v>
      </c>
      <c r="BJ79" s="11">
        <v>0.59273045935666535</v>
      </c>
      <c r="BK79" s="11">
        <v>0.11891820298110627</v>
      </c>
      <c r="BM79" s="11">
        <f t="shared" si="100"/>
        <v>0.45774026120138106</v>
      </c>
      <c r="BN79" s="11">
        <f t="shared" si="99"/>
        <v>0.43811220292564201</v>
      </c>
      <c r="BP79" s="11">
        <f t="shared" si="66"/>
        <v>0.73582859816571478</v>
      </c>
      <c r="BQ79" s="11">
        <f t="shared" si="67"/>
        <v>0.69624712812476164</v>
      </c>
    </row>
    <row r="80" spans="1:69" x14ac:dyDescent="0.35">
      <c r="A80" t="s">
        <v>103</v>
      </c>
      <c r="B80" t="s">
        <v>112</v>
      </c>
      <c r="C80">
        <v>20</v>
      </c>
      <c r="D80" t="s">
        <v>53</v>
      </c>
      <c r="E80" t="s">
        <v>55</v>
      </c>
      <c r="F80">
        <v>1</v>
      </c>
      <c r="G80">
        <v>0.38</v>
      </c>
      <c r="H80">
        <v>1</v>
      </c>
      <c r="I80">
        <f t="shared" ref="I80:I84" si="101">G80*H80</f>
        <v>0.38</v>
      </c>
      <c r="J80">
        <v>0.22</v>
      </c>
      <c r="K80">
        <v>1</v>
      </c>
      <c r="L80">
        <f t="shared" ref="L80:L84" si="102">J80*K80</f>
        <v>0.22</v>
      </c>
      <c r="M80">
        <v>0.5</v>
      </c>
      <c r="N80" s="1">
        <f t="shared" ref="N80:N84" si="103">2*DEGREES(ATAN(I80/(2*M80)))</f>
        <v>41.61358202542246</v>
      </c>
      <c r="O80" s="1">
        <f t="shared" si="72"/>
        <v>24.81483705480149</v>
      </c>
      <c r="P80" s="1">
        <f t="shared" ref="P80:P84" si="104">AVERAGE(N80:O80)</f>
        <v>33.214209540111973</v>
      </c>
      <c r="Q80">
        <v>20</v>
      </c>
      <c r="S80">
        <f t="shared" si="74"/>
        <v>1</v>
      </c>
      <c r="T80" s="1">
        <f t="shared" si="75"/>
        <v>0.93418719377694404</v>
      </c>
      <c r="U80" s="1">
        <f t="shared" si="76"/>
        <v>0.77568400063408605</v>
      </c>
      <c r="V80" s="1">
        <f t="shared" si="77"/>
        <v>1</v>
      </c>
      <c r="W80" s="1">
        <f t="shared" si="78"/>
        <v>0.77568400063408605</v>
      </c>
      <c r="X80" s="1">
        <f t="shared" si="79"/>
        <v>0.86726199847080832</v>
      </c>
      <c r="Y80">
        <v>0.96</v>
      </c>
      <c r="Z80" s="1">
        <f t="shared" si="80"/>
        <v>13.949939153014794</v>
      </c>
      <c r="AA80" s="1">
        <f t="shared" si="81"/>
        <v>0.25001685677451041</v>
      </c>
      <c r="AB80" s="1">
        <f t="shared" si="82"/>
        <v>0.55427500634546056</v>
      </c>
      <c r="AD80" s="1">
        <v>20</v>
      </c>
      <c r="AE80" s="1">
        <v>0.85</v>
      </c>
      <c r="AF80" s="1">
        <f t="shared" si="68"/>
        <v>17</v>
      </c>
      <c r="AG80" s="1">
        <f t="shared" si="98"/>
        <v>0.33333333333333331</v>
      </c>
      <c r="AH80" s="1">
        <v>0.72</v>
      </c>
      <c r="AI80" s="1">
        <v>0.7</v>
      </c>
      <c r="AJ80" s="1">
        <v>1.5</v>
      </c>
      <c r="AK80" s="1"/>
      <c r="AL80" s="1"/>
      <c r="AN80" s="1">
        <f t="shared" si="83"/>
        <v>0.85</v>
      </c>
      <c r="AO80" s="1">
        <f t="shared" si="84"/>
        <v>0.92640736341632046</v>
      </c>
      <c r="AP80" s="1">
        <f t="shared" si="85"/>
        <v>0.92640736341632046</v>
      </c>
      <c r="AQ80" s="1">
        <f t="shared" si="86"/>
        <v>0.72</v>
      </c>
      <c r="AR80" s="1">
        <f t="shared" si="87"/>
        <v>0.90909090909090906</v>
      </c>
      <c r="AS80" s="1">
        <f t="shared" si="88"/>
        <v>0.83784007306318942</v>
      </c>
      <c r="AT80" s="1">
        <f t="shared" si="89"/>
        <v>0.89439156318070956</v>
      </c>
      <c r="AU80" s="11">
        <f t="shared" si="90"/>
        <v>0.49573888935731419</v>
      </c>
      <c r="AW80" s="1">
        <v>52</v>
      </c>
      <c r="AX80" s="12">
        <v>15</v>
      </c>
      <c r="AZ80" s="11">
        <f t="shared" si="91"/>
        <v>0.8</v>
      </c>
      <c r="BA80" s="11">
        <f t="shared" si="92"/>
        <v>0.8</v>
      </c>
      <c r="BB80" s="11">
        <f t="shared" si="93"/>
        <v>3.3742331288343558E-2</v>
      </c>
      <c r="BC80" s="11">
        <f t="shared" si="94"/>
        <v>3.3742331288343558E-2</v>
      </c>
      <c r="BD80" s="11">
        <f t="shared" si="95"/>
        <v>0.74220764493282787</v>
      </c>
      <c r="BF80" s="11">
        <f t="shared" si="96"/>
        <v>0.43960642830624264</v>
      </c>
      <c r="BG80" s="11">
        <f t="shared" si="97"/>
        <v>0.60293274769189531</v>
      </c>
      <c r="BI80" s="11">
        <v>0.60293274769189531</v>
      </c>
      <c r="BJ80" s="11">
        <v>0.59273045935666535</v>
      </c>
      <c r="BK80" s="11">
        <v>0.11891820298110627</v>
      </c>
      <c r="BM80" s="11">
        <f t="shared" si="100"/>
        <v>0.43250742820959615</v>
      </c>
      <c r="BN80" s="11">
        <f t="shared" si="99"/>
        <v>0.42893662729226567</v>
      </c>
      <c r="BP80" s="11">
        <f t="shared" si="66"/>
        <v>0.69526620568714226</v>
      </c>
      <c r="BQ80" s="11">
        <f t="shared" si="67"/>
        <v>0.6816653197638699</v>
      </c>
    </row>
    <row r="81" spans="1:69" x14ac:dyDescent="0.35">
      <c r="A81" t="s">
        <v>103</v>
      </c>
      <c r="B81" t="s">
        <v>112</v>
      </c>
      <c r="C81">
        <v>15</v>
      </c>
      <c r="D81" t="s">
        <v>53</v>
      </c>
      <c r="E81" t="s">
        <v>93</v>
      </c>
      <c r="F81">
        <v>1</v>
      </c>
      <c r="G81">
        <v>0.38</v>
      </c>
      <c r="H81">
        <v>1</v>
      </c>
      <c r="I81">
        <f t="shared" si="101"/>
        <v>0.38</v>
      </c>
      <c r="J81">
        <v>0.22</v>
      </c>
      <c r="K81">
        <v>1</v>
      </c>
      <c r="L81">
        <f t="shared" si="102"/>
        <v>0.22</v>
      </c>
      <c r="M81">
        <v>0.5</v>
      </c>
      <c r="N81" s="1">
        <f t="shared" si="103"/>
        <v>41.61358202542246</v>
      </c>
      <c r="O81" s="1">
        <f t="shared" si="72"/>
        <v>24.81483705480149</v>
      </c>
      <c r="P81" s="1">
        <f t="shared" si="104"/>
        <v>33.214209540111973</v>
      </c>
      <c r="Q81">
        <v>15</v>
      </c>
      <c r="S81">
        <f t="shared" si="74"/>
        <v>1</v>
      </c>
      <c r="T81" s="1">
        <f t="shared" si="75"/>
        <v>0.93418719377694404</v>
      </c>
      <c r="U81" s="1">
        <f t="shared" si="76"/>
        <v>0.77568400063408605</v>
      </c>
      <c r="V81" s="1">
        <f t="shared" si="77"/>
        <v>1</v>
      </c>
      <c r="W81" s="1">
        <f t="shared" si="78"/>
        <v>0.77568400063408605</v>
      </c>
      <c r="X81" s="1">
        <f t="shared" si="79"/>
        <v>0.86726199847080832</v>
      </c>
      <c r="Y81">
        <v>0.95</v>
      </c>
      <c r="Z81" s="1">
        <f t="shared" si="80"/>
        <v>10.734175396804924</v>
      </c>
      <c r="AA81" s="1">
        <f t="shared" si="81"/>
        <v>0.19238254470776356</v>
      </c>
      <c r="AB81" s="1">
        <f t="shared" si="82"/>
        <v>0.49911870433937405</v>
      </c>
      <c r="AD81" s="1">
        <v>15</v>
      </c>
      <c r="AE81" s="1">
        <v>0.9</v>
      </c>
      <c r="AF81" s="1">
        <f t="shared" si="68"/>
        <v>13.5</v>
      </c>
      <c r="AG81" s="1">
        <f t="shared" si="98"/>
        <v>0.26470588235294118</v>
      </c>
      <c r="AH81" s="1">
        <v>0.72</v>
      </c>
      <c r="AI81" s="1">
        <v>0.7</v>
      </c>
      <c r="AJ81" s="1">
        <v>1.5</v>
      </c>
      <c r="AK81" s="1"/>
      <c r="AL81" s="1"/>
      <c r="AN81" s="1">
        <f t="shared" si="83"/>
        <v>0.9</v>
      </c>
      <c r="AO81" s="1">
        <f t="shared" si="84"/>
        <v>0.93443518555010896</v>
      </c>
      <c r="AP81" s="1">
        <f t="shared" si="85"/>
        <v>0.93443518555010896</v>
      </c>
      <c r="AQ81" s="1">
        <f t="shared" si="86"/>
        <v>0.72</v>
      </c>
      <c r="AR81" s="1">
        <f t="shared" si="87"/>
        <v>0.90909090909090906</v>
      </c>
      <c r="AS81" s="1">
        <f t="shared" si="88"/>
        <v>0.83784007306318942</v>
      </c>
      <c r="AT81" s="1">
        <f t="shared" si="89"/>
        <v>0.89942170533314103</v>
      </c>
      <c r="AU81" s="11">
        <f t="shared" si="90"/>
        <v>0.44891819622058765</v>
      </c>
      <c r="AW81" s="1">
        <v>52</v>
      </c>
      <c r="AX81" s="12">
        <v>15</v>
      </c>
      <c r="AZ81" s="11">
        <f t="shared" si="91"/>
        <v>0.8</v>
      </c>
      <c r="BA81" s="11">
        <f t="shared" si="92"/>
        <v>0.8</v>
      </c>
      <c r="BB81" s="11">
        <f t="shared" si="93"/>
        <v>3.3742331288343558E-2</v>
      </c>
      <c r="BC81" s="11">
        <f t="shared" si="94"/>
        <v>3.3742331288343558E-2</v>
      </c>
      <c r="BD81" s="11">
        <f t="shared" si="95"/>
        <v>0.74220764493282787</v>
      </c>
      <c r="BF81" s="11">
        <f t="shared" si="96"/>
        <v>0.3980872372108199</v>
      </c>
      <c r="BG81" s="11">
        <f t="shared" si="97"/>
        <v>0.54598799357271943</v>
      </c>
      <c r="BI81" s="11">
        <v>0.54598799357271943</v>
      </c>
      <c r="BJ81" s="11">
        <v>0.59273045935666535</v>
      </c>
      <c r="BK81" s="11">
        <v>0.11891820298110627</v>
      </c>
      <c r="BM81" s="11">
        <f t="shared" si="100"/>
        <v>0.40118781344404947</v>
      </c>
      <c r="BN81" s="11">
        <f t="shared" si="99"/>
        <v>0.4175476764684305</v>
      </c>
      <c r="BP81" s="11">
        <f t="shared" si="66"/>
        <v>0.64491916352935519</v>
      </c>
      <c r="BQ81" s="11">
        <f t="shared" si="67"/>
        <v>0.66356601951499006</v>
      </c>
    </row>
    <row r="82" spans="1:69" x14ac:dyDescent="0.35">
      <c r="A82" t="s">
        <v>103</v>
      </c>
      <c r="B82" t="s">
        <v>112</v>
      </c>
      <c r="C82">
        <v>10</v>
      </c>
      <c r="D82" t="s">
        <v>53</v>
      </c>
      <c r="E82" t="s">
        <v>94</v>
      </c>
      <c r="F82">
        <v>1</v>
      </c>
      <c r="G82">
        <v>0.38</v>
      </c>
      <c r="H82">
        <v>1</v>
      </c>
      <c r="I82">
        <f t="shared" si="101"/>
        <v>0.38</v>
      </c>
      <c r="J82">
        <v>0.22</v>
      </c>
      <c r="K82">
        <v>1</v>
      </c>
      <c r="L82">
        <f t="shared" si="102"/>
        <v>0.22</v>
      </c>
      <c r="M82">
        <v>0.5</v>
      </c>
      <c r="N82" s="1">
        <f t="shared" si="103"/>
        <v>41.61358202542246</v>
      </c>
      <c r="O82" s="1">
        <f t="shared" si="72"/>
        <v>24.81483705480149</v>
      </c>
      <c r="P82" s="1">
        <f t="shared" si="104"/>
        <v>33.214209540111973</v>
      </c>
      <c r="Q82">
        <v>10</v>
      </c>
      <c r="S82">
        <f t="shared" si="74"/>
        <v>1</v>
      </c>
      <c r="T82" s="1">
        <f t="shared" si="75"/>
        <v>0.93418719377694404</v>
      </c>
      <c r="U82" s="1">
        <f t="shared" si="76"/>
        <v>0.77568400063408605</v>
      </c>
      <c r="V82" s="1">
        <f t="shared" si="77"/>
        <v>1</v>
      </c>
      <c r="W82" s="1">
        <f t="shared" si="78"/>
        <v>0.77568400063408605</v>
      </c>
      <c r="X82" s="1">
        <f t="shared" si="79"/>
        <v>0.86726199847080832</v>
      </c>
      <c r="Y82">
        <v>0.9</v>
      </c>
      <c r="Z82" s="1">
        <f t="shared" si="80"/>
        <v>6.5132155989999996</v>
      </c>
      <c r="AA82" s="1">
        <f t="shared" si="81"/>
        <v>0.11673267343282748</v>
      </c>
      <c r="AB82" s="1">
        <f t="shared" si="82"/>
        <v>0.40870933012448335</v>
      </c>
      <c r="AD82" s="1">
        <v>10</v>
      </c>
      <c r="AE82" s="1">
        <v>0.9</v>
      </c>
      <c r="AF82" s="1">
        <f t="shared" si="68"/>
        <v>9</v>
      </c>
      <c r="AG82" s="1">
        <f t="shared" si="98"/>
        <v>0.17647058823529413</v>
      </c>
      <c r="AH82" s="1">
        <v>0.72</v>
      </c>
      <c r="AI82" s="1">
        <v>0.7</v>
      </c>
      <c r="AJ82" s="1">
        <v>1.5</v>
      </c>
      <c r="AK82" s="1"/>
      <c r="AL82" s="1"/>
      <c r="AN82" s="1">
        <f t="shared" si="83"/>
        <v>0.9</v>
      </c>
      <c r="AO82" s="1">
        <f t="shared" si="84"/>
        <v>0.93348979998399428</v>
      </c>
      <c r="AP82" s="1">
        <f t="shared" si="85"/>
        <v>0.93348979998399428</v>
      </c>
      <c r="AQ82" s="1">
        <f t="shared" si="86"/>
        <v>0.72</v>
      </c>
      <c r="AR82" s="1">
        <f t="shared" si="87"/>
        <v>0.90909090909090906</v>
      </c>
      <c r="AS82" s="1">
        <f t="shared" si="88"/>
        <v>0.83784007306318942</v>
      </c>
      <c r="AT82" s="1">
        <f t="shared" si="89"/>
        <v>0.89883012541193841</v>
      </c>
      <c r="AU82" s="11">
        <f t="shared" si="90"/>
        <v>0.36736025845281872</v>
      </c>
      <c r="AW82" s="1">
        <v>52</v>
      </c>
      <c r="AX82" s="12">
        <v>15</v>
      </c>
      <c r="AZ82" s="11">
        <f t="shared" si="91"/>
        <v>0.8</v>
      </c>
      <c r="BA82" s="11">
        <f t="shared" si="92"/>
        <v>0.8</v>
      </c>
      <c r="BB82" s="11">
        <f t="shared" si="93"/>
        <v>3.3742331288343558E-2</v>
      </c>
      <c r="BC82" s="11">
        <f t="shared" si="94"/>
        <v>3.3742331288343558E-2</v>
      </c>
      <c r="BD82" s="11">
        <f t="shared" si="95"/>
        <v>0.74220764493282787</v>
      </c>
      <c r="BF82" s="11">
        <f t="shared" si="96"/>
        <v>0.32576409595274197</v>
      </c>
      <c r="BG82" s="11">
        <f t="shared" si="97"/>
        <v>0.44679474371863681</v>
      </c>
      <c r="BI82" s="11">
        <v>0.44679474371863681</v>
      </c>
      <c r="BJ82" s="11">
        <v>0.59273045935666535</v>
      </c>
      <c r="BK82" s="11">
        <v>0.11891820298110627</v>
      </c>
      <c r="BM82" s="11">
        <f t="shared" si="100"/>
        <v>0.34663152602430397</v>
      </c>
      <c r="BN82" s="11">
        <f t="shared" si="99"/>
        <v>0.39770902649761397</v>
      </c>
      <c r="BP82" s="11">
        <f t="shared" si="66"/>
        <v>0.55721860516502131</v>
      </c>
      <c r="BQ82" s="11">
        <f t="shared" si="67"/>
        <v>0.63203847251717737</v>
      </c>
    </row>
    <row r="83" spans="1:69" x14ac:dyDescent="0.35">
      <c r="A83" t="s">
        <v>113</v>
      </c>
      <c r="B83" t="s">
        <v>114</v>
      </c>
      <c r="C83">
        <v>20</v>
      </c>
      <c r="D83" t="s">
        <v>53</v>
      </c>
      <c r="E83" t="s">
        <v>55</v>
      </c>
      <c r="F83">
        <v>0.7</v>
      </c>
      <c r="G83">
        <v>7.0000000000000007E-2</v>
      </c>
      <c r="H83">
        <v>0.9</v>
      </c>
      <c r="I83">
        <f t="shared" si="101"/>
        <v>6.3000000000000014E-2</v>
      </c>
      <c r="J83">
        <v>0.14000000000000001</v>
      </c>
      <c r="K83">
        <v>0.5</v>
      </c>
      <c r="L83">
        <f t="shared" si="102"/>
        <v>7.0000000000000007E-2</v>
      </c>
      <c r="M83">
        <v>0.3</v>
      </c>
      <c r="N83" s="1">
        <f t="shared" si="103"/>
        <v>11.988185898216942</v>
      </c>
      <c r="O83" s="1">
        <f t="shared" si="72"/>
        <v>13.308850092013193</v>
      </c>
      <c r="P83" s="1">
        <f t="shared" si="104"/>
        <v>12.648517995115068</v>
      </c>
      <c r="Q83">
        <v>20</v>
      </c>
      <c r="S83">
        <f t="shared" si="74"/>
        <v>0.7</v>
      </c>
      <c r="T83" s="1">
        <f t="shared" si="75"/>
        <v>0.35575386844668794</v>
      </c>
      <c r="U83" s="1">
        <f t="shared" si="76"/>
        <v>0.43402546299724942</v>
      </c>
      <c r="V83" s="1">
        <f t="shared" si="77"/>
        <v>1</v>
      </c>
      <c r="W83" s="1">
        <f t="shared" si="78"/>
        <v>0.43402546299724942</v>
      </c>
      <c r="X83" s="1">
        <f t="shared" si="79"/>
        <v>0.48526692585964309</v>
      </c>
      <c r="Y83">
        <v>0.96</v>
      </c>
      <c r="Z83" s="1">
        <f t="shared" si="80"/>
        <v>13.949939153014794</v>
      </c>
      <c r="AA83" s="1">
        <f t="shared" si="81"/>
        <v>0.25001685677451041</v>
      </c>
      <c r="AB83" s="1">
        <f t="shared" si="82"/>
        <v>0.4231235555420258</v>
      </c>
      <c r="AD83" s="1">
        <v>20</v>
      </c>
      <c r="AE83" s="10">
        <v>0.185</v>
      </c>
      <c r="AF83" s="1">
        <f t="shared" si="68"/>
        <v>3.7</v>
      </c>
      <c r="AG83" s="1">
        <f t="shared" si="98"/>
        <v>7.2549019607843143E-2</v>
      </c>
      <c r="AH83" s="1">
        <v>1</v>
      </c>
      <c r="AI83" s="10">
        <v>0.68</v>
      </c>
      <c r="AJ83" s="1">
        <v>2</v>
      </c>
      <c r="AK83" s="1"/>
      <c r="AL83" s="1"/>
      <c r="AN83" s="1">
        <f t="shared" si="83"/>
        <v>0.185</v>
      </c>
      <c r="AO83" s="1">
        <f t="shared" si="84"/>
        <v>0.51023855639379501</v>
      </c>
      <c r="AP83" s="1">
        <f t="shared" si="85"/>
        <v>0.51023855639379501</v>
      </c>
      <c r="AQ83" s="1">
        <f t="shared" si="86"/>
        <v>1</v>
      </c>
      <c r="AR83" s="1">
        <f t="shared" si="87"/>
        <v>0.8571428571428571</v>
      </c>
      <c r="AS83" s="1">
        <f t="shared" si="88"/>
        <v>0.90465833053439948</v>
      </c>
      <c r="AT83" s="1">
        <f t="shared" si="89"/>
        <v>0.62347957818779942</v>
      </c>
      <c r="AU83" s="11">
        <f t="shared" si="90"/>
        <v>0.26380889593066414</v>
      </c>
      <c r="AW83" s="1">
        <v>55</v>
      </c>
      <c r="AX83" s="12">
        <v>20</v>
      </c>
      <c r="AZ83" s="11">
        <f t="shared" si="91"/>
        <v>0.84615384615384615</v>
      </c>
      <c r="BA83" s="11">
        <f t="shared" si="92"/>
        <v>0.84615384615384615</v>
      </c>
      <c r="BB83" s="11">
        <f t="shared" si="93"/>
        <v>4.9079754601226995E-2</v>
      </c>
      <c r="BC83" s="11">
        <f t="shared" si="94"/>
        <v>4.9079754601226995E-2</v>
      </c>
      <c r="BD83" s="11">
        <f t="shared" si="95"/>
        <v>0.70052473834439399</v>
      </c>
      <c r="BF83" s="11">
        <f t="shared" si="96"/>
        <v>0.23382316353505325</v>
      </c>
      <c r="BG83" s="11">
        <f t="shared" si="97"/>
        <v>0.32069513407112993</v>
      </c>
      <c r="BI83" s="11">
        <v>0.32069513407112993</v>
      </c>
      <c r="BJ83" s="11">
        <v>0.37824423521116496</v>
      </c>
      <c r="BK83" s="11">
        <v>5.0563141814407242E-2</v>
      </c>
      <c r="BM83" s="11">
        <f t="shared" si="100"/>
        <v>0.23190384689528051</v>
      </c>
      <c r="BN83" s="11">
        <f t="shared" si="99"/>
        <v>0.25204603229429273</v>
      </c>
      <c r="BP83" s="11">
        <f t="shared" si="66"/>
        <v>0.37279107178015469</v>
      </c>
      <c r="BQ83" s="11">
        <f t="shared" si="67"/>
        <v>0.40055110304682934</v>
      </c>
    </row>
    <row r="84" spans="1:69" x14ac:dyDescent="0.35">
      <c r="A84" t="s">
        <v>113</v>
      </c>
      <c r="B84" t="s">
        <v>115</v>
      </c>
      <c r="D84" t="s">
        <v>50</v>
      </c>
      <c r="E84" t="s">
        <v>50</v>
      </c>
      <c r="F84">
        <v>0.5</v>
      </c>
      <c r="G84">
        <v>7.0000000000000007E-2</v>
      </c>
      <c r="H84">
        <v>0.9</v>
      </c>
      <c r="I84">
        <f t="shared" si="101"/>
        <v>6.3000000000000014E-2</v>
      </c>
      <c r="J84">
        <v>0.14000000000000001</v>
      </c>
      <c r="K84">
        <v>0.5</v>
      </c>
      <c r="L84">
        <f t="shared" si="102"/>
        <v>7.0000000000000007E-2</v>
      </c>
      <c r="M84">
        <v>0.3</v>
      </c>
      <c r="N84" s="1">
        <f t="shared" si="103"/>
        <v>11.988185898216942</v>
      </c>
      <c r="O84" s="1">
        <f t="shared" si="72"/>
        <v>13.308850092013193</v>
      </c>
      <c r="P84" s="1">
        <f t="shared" si="104"/>
        <v>12.648517995115068</v>
      </c>
      <c r="Q84">
        <v>12</v>
      </c>
      <c r="S84">
        <f t="shared" si="74"/>
        <v>0.5</v>
      </c>
      <c r="T84" s="1">
        <f t="shared" si="75"/>
        <v>0.35575386844668794</v>
      </c>
      <c r="U84" s="1">
        <f t="shared" si="76"/>
        <v>0.43402546299724942</v>
      </c>
      <c r="V84" s="1">
        <f t="shared" si="77"/>
        <v>1</v>
      </c>
      <c r="W84" s="1">
        <f t="shared" si="78"/>
        <v>0.43402546299724942</v>
      </c>
      <c r="X84" s="1">
        <f t="shared" si="79"/>
        <v>0.48526692585964309</v>
      </c>
      <c r="Y84">
        <v>0.96</v>
      </c>
      <c r="Z84" s="1">
        <f t="shared" si="80"/>
        <v>9.6822560667558086</v>
      </c>
      <c r="AA84" s="1">
        <f t="shared" si="81"/>
        <v>0.17352959046943695</v>
      </c>
      <c r="AB84" s="1">
        <f t="shared" si="82"/>
        <v>0.32500054655088312</v>
      </c>
      <c r="AD84" s="1"/>
      <c r="AE84" s="1"/>
      <c r="AF84" s="10">
        <v>3.7</v>
      </c>
      <c r="AG84" s="1">
        <f t="shared" si="98"/>
        <v>7.2549019607843143E-2</v>
      </c>
      <c r="AH84" s="1">
        <v>1</v>
      </c>
      <c r="AI84" s="10">
        <v>0.68</v>
      </c>
      <c r="AJ84" s="1">
        <v>2</v>
      </c>
      <c r="AK84" s="1"/>
      <c r="AL84" s="1"/>
      <c r="AN84" s="1">
        <f t="shared" si="83"/>
        <v>0.30833333333333335</v>
      </c>
      <c r="AO84" s="1">
        <f t="shared" si="84"/>
        <v>0.51657947272646321</v>
      </c>
      <c r="AP84" s="1">
        <f t="shared" si="85"/>
        <v>0.51657947272646321</v>
      </c>
      <c r="AQ84" s="1">
        <f t="shared" si="86"/>
        <v>1</v>
      </c>
      <c r="AR84" s="1">
        <f t="shared" si="87"/>
        <v>0.8571428571428571</v>
      </c>
      <c r="AS84" s="1">
        <f t="shared" si="88"/>
        <v>0.90465833053439948</v>
      </c>
      <c r="AT84" s="1">
        <f t="shared" si="89"/>
        <v>0.62850501790283431</v>
      </c>
      <c r="AU84" s="11">
        <f t="shared" si="90"/>
        <v>0.20426447432839373</v>
      </c>
      <c r="AW84" s="1">
        <v>55</v>
      </c>
      <c r="AX84" s="12">
        <v>20</v>
      </c>
      <c r="AZ84" s="11">
        <f t="shared" si="91"/>
        <v>0.84615384615384615</v>
      </c>
      <c r="BA84" s="11">
        <f t="shared" si="92"/>
        <v>0.84615384615384615</v>
      </c>
      <c r="BB84" s="11">
        <f t="shared" si="93"/>
        <v>4.9079754601226995E-2</v>
      </c>
      <c r="BC84" s="11">
        <f t="shared" si="94"/>
        <v>4.9079754601226995E-2</v>
      </c>
      <c r="BD84" s="11">
        <f t="shared" si="95"/>
        <v>0.70052473834439399</v>
      </c>
      <c r="BF84" s="11">
        <f t="shared" si="96"/>
        <v>0.18104683474299038</v>
      </c>
      <c r="BG84" s="11">
        <f t="shared" si="97"/>
        <v>0.24831089470891063</v>
      </c>
      <c r="BI84" s="11">
        <v>0.24831089470891063</v>
      </c>
      <c r="BJ84" s="11">
        <v>0.37824423521116496</v>
      </c>
      <c r="BK84" s="11">
        <v>5.0563141814407242E-2</v>
      </c>
      <c r="BM84" s="11">
        <f t="shared" si="100"/>
        <v>0.19209251524605991</v>
      </c>
      <c r="BN84" s="11">
        <f t="shared" si="99"/>
        <v>0.23756918442184891</v>
      </c>
      <c r="BP84" s="11">
        <f t="shared" si="66"/>
        <v>0.30879338828674568</v>
      </c>
      <c r="BQ84" s="11">
        <f t="shared" si="67"/>
        <v>0.37754452233946928</v>
      </c>
    </row>
    <row r="85" spans="1:69" x14ac:dyDescent="0.35">
      <c r="A85" t="s">
        <v>116</v>
      </c>
      <c r="B85" t="s">
        <v>117</v>
      </c>
      <c r="C85">
        <v>30</v>
      </c>
      <c r="D85" t="s">
        <v>56</v>
      </c>
      <c r="E85" t="s">
        <v>65</v>
      </c>
      <c r="F85">
        <v>0.7</v>
      </c>
      <c r="N85" s="1">
        <v>40</v>
      </c>
      <c r="O85" s="1">
        <v>40</v>
      </c>
      <c r="P85" s="1">
        <f t="shared" ref="P85:P91" si="105">AVERAGE(N85:O85)*0.7*0.8</f>
        <v>22.400000000000002</v>
      </c>
      <c r="Q85">
        <v>30</v>
      </c>
      <c r="S85">
        <f t="shared" si="74"/>
        <v>0.7</v>
      </c>
      <c r="T85" s="1">
        <f t="shared" si="75"/>
        <v>0.63002532441219139</v>
      </c>
      <c r="U85" s="1">
        <f t="shared" si="76"/>
        <v>0.63506664053946538</v>
      </c>
      <c r="V85" s="1">
        <f t="shared" si="77"/>
        <v>1</v>
      </c>
      <c r="W85" s="1">
        <f t="shared" si="78"/>
        <v>0.63506664053946538</v>
      </c>
      <c r="X85" s="1">
        <f t="shared" si="79"/>
        <v>0.71004321783892754</v>
      </c>
      <c r="Y85">
        <v>0.97</v>
      </c>
      <c r="Z85" s="1">
        <f t="shared" si="80"/>
        <v>19.966431048561397</v>
      </c>
      <c r="AA85" s="1">
        <f t="shared" si="81"/>
        <v>0.35784703266519102</v>
      </c>
      <c r="AB85" s="1">
        <f t="shared" si="82"/>
        <v>0.5371362687735699</v>
      </c>
      <c r="AD85" s="1">
        <v>30</v>
      </c>
      <c r="AE85" s="1">
        <v>0.8</v>
      </c>
      <c r="AF85" s="1">
        <f t="shared" ref="AF85:AF100" si="106">AD85*AE85</f>
        <v>24</v>
      </c>
      <c r="AG85" s="1">
        <f t="shared" si="98"/>
        <v>0.47058823529411764</v>
      </c>
      <c r="AH85" s="1">
        <v>0.92</v>
      </c>
      <c r="AI85" s="1">
        <v>0.75</v>
      </c>
      <c r="AJ85" s="1">
        <v>7</v>
      </c>
      <c r="AK85" s="1"/>
      <c r="AL85" s="1"/>
      <c r="AN85" s="1">
        <f t="shared" si="83"/>
        <v>0.8</v>
      </c>
      <c r="AO85" s="1">
        <f t="shared" si="84"/>
        <v>0.87274627306349195</v>
      </c>
      <c r="AP85" s="1">
        <f t="shared" si="85"/>
        <v>0.87274627306349195</v>
      </c>
      <c r="AQ85" s="1">
        <f t="shared" si="86"/>
        <v>0.92</v>
      </c>
      <c r="AR85" s="1">
        <f t="shared" si="87"/>
        <v>0.72727272727272729</v>
      </c>
      <c r="AS85" s="1">
        <f t="shared" si="88"/>
        <v>0.78963971985864145</v>
      </c>
      <c r="AT85" s="1">
        <f t="shared" si="89"/>
        <v>0.84270844651408394</v>
      </c>
      <c r="AU85" s="11">
        <f t="shared" si="90"/>
        <v>0.45264927062454657</v>
      </c>
      <c r="AW85" s="1">
        <v>54</v>
      </c>
      <c r="AX85" s="12">
        <v>32</v>
      </c>
      <c r="AZ85" s="11">
        <f t="shared" si="91"/>
        <v>0.83076923076923082</v>
      </c>
      <c r="BA85" s="11">
        <f t="shared" si="92"/>
        <v>0.83076923076923082</v>
      </c>
      <c r="BB85" s="11">
        <f t="shared" si="93"/>
        <v>8.5889570552147243E-2</v>
      </c>
      <c r="BC85" s="11">
        <f t="shared" si="94"/>
        <v>8.5889570552147243E-2</v>
      </c>
      <c r="BD85" s="11">
        <f t="shared" si="95"/>
        <v>0.625392754980307</v>
      </c>
      <c r="BF85" s="11">
        <f t="shared" si="96"/>
        <v>0.39150728739445478</v>
      </c>
      <c r="BG85" s="11">
        <f t="shared" si="97"/>
        <v>0.5369634048337848</v>
      </c>
      <c r="BI85" s="11">
        <v>0.5369634048337848</v>
      </c>
      <c r="BJ85" s="11">
        <v>0.20410037425033112</v>
      </c>
      <c r="BK85" s="11">
        <v>0.50657244247526678</v>
      </c>
      <c r="BM85" s="11">
        <f t="shared" si="100"/>
        <v>0.49304026494995812</v>
      </c>
      <c r="BN85" s="11">
        <f t="shared" si="99"/>
        <v>0.37653820424574935</v>
      </c>
      <c r="BP85" s="11">
        <f t="shared" si="66"/>
        <v>0.79257421238235992</v>
      </c>
      <c r="BQ85" s="11">
        <f t="shared" si="67"/>
        <v>0.59839383971656512</v>
      </c>
    </row>
    <row r="86" spans="1:69" x14ac:dyDescent="0.35">
      <c r="A86" t="s">
        <v>116</v>
      </c>
      <c r="B86" t="s">
        <v>117</v>
      </c>
      <c r="C86">
        <v>20</v>
      </c>
      <c r="D86" t="s">
        <v>56</v>
      </c>
      <c r="E86" t="s">
        <v>67</v>
      </c>
      <c r="F86">
        <v>0.7</v>
      </c>
      <c r="N86" s="1">
        <v>40</v>
      </c>
      <c r="O86" s="1">
        <v>40</v>
      </c>
      <c r="P86" s="1">
        <f t="shared" si="105"/>
        <v>22.400000000000002</v>
      </c>
      <c r="Q86">
        <v>20</v>
      </c>
      <c r="S86">
        <f t="shared" si="74"/>
        <v>0.7</v>
      </c>
      <c r="T86" s="1">
        <f t="shared" si="75"/>
        <v>0.63002532441219139</v>
      </c>
      <c r="U86" s="1">
        <f t="shared" si="76"/>
        <v>0.63506664053946538</v>
      </c>
      <c r="V86" s="1">
        <f t="shared" si="77"/>
        <v>1</v>
      </c>
      <c r="W86" s="1">
        <f t="shared" si="78"/>
        <v>0.63506664053946538</v>
      </c>
      <c r="X86" s="1">
        <f t="shared" si="79"/>
        <v>0.71004321783892754</v>
      </c>
      <c r="Y86">
        <v>0.96</v>
      </c>
      <c r="Z86" s="1">
        <f t="shared" si="80"/>
        <v>13.949939153014794</v>
      </c>
      <c r="AA86" s="1">
        <f t="shared" si="81"/>
        <v>0.25001685677451041</v>
      </c>
      <c r="AB86" s="1">
        <f t="shared" si="82"/>
        <v>0.46536447414713517</v>
      </c>
      <c r="AD86" s="1">
        <v>20</v>
      </c>
      <c r="AE86" s="1">
        <v>0.8</v>
      </c>
      <c r="AF86" s="1">
        <f t="shared" si="106"/>
        <v>16</v>
      </c>
      <c r="AG86" s="1">
        <f t="shared" si="98"/>
        <v>0.31372549019607843</v>
      </c>
      <c r="AH86" s="1">
        <v>0.92</v>
      </c>
      <c r="AI86" s="1">
        <v>0.75</v>
      </c>
      <c r="AJ86" s="1">
        <v>7</v>
      </c>
      <c r="AK86" s="1"/>
      <c r="AL86" s="1"/>
      <c r="AN86" s="1">
        <f t="shared" si="83"/>
        <v>0.8</v>
      </c>
      <c r="AO86" s="1">
        <f t="shared" si="84"/>
        <v>0.87098384230154635</v>
      </c>
      <c r="AP86" s="1">
        <f t="shared" si="85"/>
        <v>0.87098384230154635</v>
      </c>
      <c r="AQ86" s="1">
        <f t="shared" si="86"/>
        <v>0.92</v>
      </c>
      <c r="AR86" s="1">
        <f t="shared" si="87"/>
        <v>0.72727272727272729</v>
      </c>
      <c r="AS86" s="1">
        <f t="shared" si="88"/>
        <v>0.78963971985864145</v>
      </c>
      <c r="AT86" s="1">
        <f t="shared" si="89"/>
        <v>0.84160190335980134</v>
      </c>
      <c r="AU86" s="11">
        <f t="shared" si="90"/>
        <v>0.39165162719826202</v>
      </c>
      <c r="AW86" s="1">
        <v>54</v>
      </c>
      <c r="AX86" s="12">
        <v>32</v>
      </c>
      <c r="AZ86" s="11">
        <f t="shared" si="91"/>
        <v>0.83076923076923082</v>
      </c>
      <c r="BA86" s="11">
        <f t="shared" si="92"/>
        <v>0.83076923076923082</v>
      </c>
      <c r="BB86" s="11">
        <f t="shared" si="93"/>
        <v>8.5889570552147243E-2</v>
      </c>
      <c r="BC86" s="11">
        <f t="shared" si="94"/>
        <v>8.5889570552147243E-2</v>
      </c>
      <c r="BD86" s="11">
        <f t="shared" si="95"/>
        <v>0.625392754980307</v>
      </c>
      <c r="BF86" s="11">
        <f t="shared" si="96"/>
        <v>0.33874895226595936</v>
      </c>
      <c r="BG86" s="11">
        <f t="shared" si="97"/>
        <v>0.46460384429406948</v>
      </c>
      <c r="BI86" s="11">
        <v>0.46460384429406948</v>
      </c>
      <c r="BJ86" s="11">
        <v>0.20410037425033112</v>
      </c>
      <c r="BK86" s="11">
        <v>0.50657244247526678</v>
      </c>
      <c r="BM86" s="11">
        <f t="shared" si="100"/>
        <v>0.45324250665311472</v>
      </c>
      <c r="BN86" s="11">
        <f t="shared" si="99"/>
        <v>0.36206629213780628</v>
      </c>
      <c r="BP86" s="11">
        <f t="shared" si="66"/>
        <v>0.72859834838288373</v>
      </c>
      <c r="BQ86" s="11">
        <f t="shared" si="67"/>
        <v>0.57539510291730855</v>
      </c>
    </row>
    <row r="87" spans="1:69" x14ac:dyDescent="0.35">
      <c r="A87" t="s">
        <v>116</v>
      </c>
      <c r="B87" t="s">
        <v>117</v>
      </c>
      <c r="C87">
        <v>10</v>
      </c>
      <c r="D87" t="s">
        <v>56</v>
      </c>
      <c r="E87" t="s">
        <v>69</v>
      </c>
      <c r="F87">
        <v>0.7</v>
      </c>
      <c r="N87" s="1">
        <v>40</v>
      </c>
      <c r="O87" s="1">
        <v>40</v>
      </c>
      <c r="P87" s="1">
        <f t="shared" si="105"/>
        <v>22.400000000000002</v>
      </c>
      <c r="Q87">
        <v>10</v>
      </c>
      <c r="S87">
        <f t="shared" si="74"/>
        <v>0.7</v>
      </c>
      <c r="T87" s="1">
        <f t="shared" si="75"/>
        <v>0.63002532441219139</v>
      </c>
      <c r="U87" s="1">
        <f t="shared" si="76"/>
        <v>0.63506664053946538</v>
      </c>
      <c r="V87" s="1">
        <f t="shared" si="77"/>
        <v>1</v>
      </c>
      <c r="W87" s="1">
        <f t="shared" si="78"/>
        <v>0.63506664053946538</v>
      </c>
      <c r="X87" s="1">
        <f t="shared" si="79"/>
        <v>0.71004321783892754</v>
      </c>
      <c r="Y87">
        <v>0.9</v>
      </c>
      <c r="Z87" s="1">
        <f t="shared" si="80"/>
        <v>6.5132155989999996</v>
      </c>
      <c r="AA87" s="1">
        <f t="shared" si="81"/>
        <v>0.11673267343282748</v>
      </c>
      <c r="AB87" s="1">
        <f t="shared" si="82"/>
        <v>0.34314879854759983</v>
      </c>
      <c r="AD87" s="1">
        <v>10</v>
      </c>
      <c r="AE87" s="1">
        <v>0.9</v>
      </c>
      <c r="AF87" s="1">
        <f t="shared" si="106"/>
        <v>9</v>
      </c>
      <c r="AG87" s="1">
        <f t="shared" si="98"/>
        <v>0.17647058823529413</v>
      </c>
      <c r="AH87" s="1">
        <v>0.92</v>
      </c>
      <c r="AI87" s="1">
        <v>0.75</v>
      </c>
      <c r="AJ87" s="1">
        <v>7</v>
      </c>
      <c r="AK87" s="1"/>
      <c r="AL87" s="1"/>
      <c r="AN87" s="1">
        <f t="shared" si="83"/>
        <v>0.9</v>
      </c>
      <c r="AO87" s="1">
        <f t="shared" si="84"/>
        <v>0.89750598245420499</v>
      </c>
      <c r="AP87" s="1">
        <f t="shared" si="85"/>
        <v>0.89750598245420499</v>
      </c>
      <c r="AQ87" s="1">
        <f t="shared" si="86"/>
        <v>0.92</v>
      </c>
      <c r="AR87" s="1">
        <f t="shared" si="87"/>
        <v>0.72727272727272729</v>
      </c>
      <c r="AS87" s="1">
        <f t="shared" si="88"/>
        <v>0.78963971985864145</v>
      </c>
      <c r="AT87" s="1">
        <f t="shared" si="89"/>
        <v>0.85817216480273473</v>
      </c>
      <c r="AU87" s="11">
        <f t="shared" si="90"/>
        <v>0.29448074729905127</v>
      </c>
      <c r="AW87" s="1">
        <v>54</v>
      </c>
      <c r="AX87" s="12">
        <v>32</v>
      </c>
      <c r="AZ87" s="11">
        <f t="shared" si="91"/>
        <v>0.83076923076923082</v>
      </c>
      <c r="BA87" s="11">
        <f t="shared" si="92"/>
        <v>0.83076923076923082</v>
      </c>
      <c r="BB87" s="11">
        <f t="shared" si="93"/>
        <v>8.5889570552147243E-2</v>
      </c>
      <c r="BC87" s="11">
        <f t="shared" si="94"/>
        <v>8.5889570552147243E-2</v>
      </c>
      <c r="BD87" s="11">
        <f t="shared" si="95"/>
        <v>0.625392754980307</v>
      </c>
      <c r="BF87" s="11">
        <f t="shared" si="96"/>
        <v>0.25470351118840701</v>
      </c>
      <c r="BG87" s="11">
        <f t="shared" si="97"/>
        <v>0.34933312608572442</v>
      </c>
      <c r="BI87" s="11">
        <v>0.34933312608572442</v>
      </c>
      <c r="BJ87" s="11">
        <v>0.20410037425033112</v>
      </c>
      <c r="BK87" s="11">
        <v>0.50657244247526678</v>
      </c>
      <c r="BM87" s="11">
        <f t="shared" si="100"/>
        <v>0.38984361163852488</v>
      </c>
      <c r="BN87" s="11">
        <f t="shared" si="99"/>
        <v>0.33901214849613726</v>
      </c>
      <c r="BP87" s="11">
        <f t="shared" si="66"/>
        <v>0.62668308333409406</v>
      </c>
      <c r="BQ87" s="11">
        <f t="shared" si="67"/>
        <v>0.53875749913750226</v>
      </c>
    </row>
    <row r="88" spans="1:69" x14ac:dyDescent="0.35">
      <c r="A88" t="s">
        <v>116</v>
      </c>
      <c r="B88" t="s">
        <v>118</v>
      </c>
      <c r="C88">
        <v>20</v>
      </c>
      <c r="D88" t="s">
        <v>56</v>
      </c>
      <c r="E88" t="s">
        <v>67</v>
      </c>
      <c r="F88">
        <v>0.7</v>
      </c>
      <c r="N88" s="1">
        <v>40</v>
      </c>
      <c r="O88" s="1">
        <v>40</v>
      </c>
      <c r="P88" s="1">
        <f t="shared" si="105"/>
        <v>22.400000000000002</v>
      </c>
      <c r="Q88">
        <v>20</v>
      </c>
      <c r="S88">
        <f t="shared" si="74"/>
        <v>0.7</v>
      </c>
      <c r="T88" s="1">
        <f t="shared" si="75"/>
        <v>0.63002532441219139</v>
      </c>
      <c r="U88" s="1">
        <f t="shared" si="76"/>
        <v>0.63506664053946538</v>
      </c>
      <c r="V88" s="1">
        <f t="shared" si="77"/>
        <v>1</v>
      </c>
      <c r="W88" s="1">
        <f t="shared" si="78"/>
        <v>0.63506664053946538</v>
      </c>
      <c r="X88" s="1">
        <f t="shared" si="79"/>
        <v>0.71004321783892754</v>
      </c>
      <c r="Y88">
        <v>0.96</v>
      </c>
      <c r="Z88" s="1">
        <f t="shared" si="80"/>
        <v>13.949939153014794</v>
      </c>
      <c r="AA88" s="1">
        <f t="shared" si="81"/>
        <v>0.25001685677451041</v>
      </c>
      <c r="AB88" s="1">
        <f t="shared" si="82"/>
        <v>0.46536447414713517</v>
      </c>
      <c r="AD88" s="1">
        <v>20</v>
      </c>
      <c r="AE88" s="1">
        <v>0.8</v>
      </c>
      <c r="AF88" s="1">
        <f t="shared" si="106"/>
        <v>16</v>
      </c>
      <c r="AG88" s="1">
        <f t="shared" si="98"/>
        <v>0.31372549019607843</v>
      </c>
      <c r="AH88" s="1">
        <v>0.95</v>
      </c>
      <c r="AI88" s="1">
        <v>0.8</v>
      </c>
      <c r="AJ88" s="1">
        <v>1</v>
      </c>
      <c r="AK88" s="1"/>
      <c r="AL88" s="1"/>
      <c r="AN88" s="1">
        <f t="shared" si="83"/>
        <v>0.8</v>
      </c>
      <c r="AO88" s="1">
        <f t="shared" si="84"/>
        <v>0.87098384230154635</v>
      </c>
      <c r="AP88" s="1">
        <f t="shared" si="85"/>
        <v>0.87098384230154635</v>
      </c>
      <c r="AQ88" s="1">
        <f t="shared" si="86"/>
        <v>0.95</v>
      </c>
      <c r="AR88" s="1">
        <f t="shared" si="87"/>
        <v>1</v>
      </c>
      <c r="AS88" s="1">
        <f t="shared" si="88"/>
        <v>0.98220753580258269</v>
      </c>
      <c r="AT88" s="1">
        <f t="shared" si="89"/>
        <v>0.90840121335816848</v>
      </c>
      <c r="AU88" s="11">
        <f t="shared" si="90"/>
        <v>0.42273765296904359</v>
      </c>
      <c r="AW88" s="1">
        <v>56</v>
      </c>
      <c r="AX88" s="12">
        <v>6</v>
      </c>
      <c r="AZ88" s="11">
        <f t="shared" si="91"/>
        <v>0.86153846153846159</v>
      </c>
      <c r="BA88" s="11">
        <f t="shared" si="92"/>
        <v>0.86153846153846159</v>
      </c>
      <c r="BB88" s="11">
        <f t="shared" si="93"/>
        <v>6.1349693251533744E-3</v>
      </c>
      <c r="BC88" s="11">
        <f t="shared" si="94"/>
        <v>6.1349693251533744E-3</v>
      </c>
      <c r="BD88" s="11">
        <f t="shared" si="95"/>
        <v>0.86964582113622901</v>
      </c>
      <c r="BF88" s="11">
        <f t="shared" si="96"/>
        <v>0.39431959309032716</v>
      </c>
      <c r="BG88" s="11">
        <f t="shared" si="97"/>
        <v>0.54082056226229414</v>
      </c>
      <c r="BI88" s="11">
        <v>0.54082056226229414</v>
      </c>
      <c r="BJ88" s="11">
        <v>0.37824423521116496</v>
      </c>
      <c r="BK88" s="11">
        <v>0.15197173274258002</v>
      </c>
      <c r="BM88" s="11">
        <f t="shared" si="100"/>
        <v>0.38846583922528127</v>
      </c>
      <c r="BN88" s="11">
        <f t="shared" si="99"/>
        <v>0.33156412475738611</v>
      </c>
      <c r="BP88" s="11">
        <f t="shared" si="66"/>
        <v>0.62446828068429527</v>
      </c>
      <c r="BQ88" s="11">
        <f t="shared" si="67"/>
        <v>0.52692111315308654</v>
      </c>
    </row>
    <row r="89" spans="1:69" x14ac:dyDescent="0.35">
      <c r="A89" t="s">
        <v>116</v>
      </c>
      <c r="B89" t="s">
        <v>118</v>
      </c>
      <c r="C89">
        <v>15</v>
      </c>
      <c r="D89" t="s">
        <v>56</v>
      </c>
      <c r="E89" t="s">
        <v>68</v>
      </c>
      <c r="F89">
        <v>0.7</v>
      </c>
      <c r="N89" s="1">
        <v>40</v>
      </c>
      <c r="O89" s="1">
        <v>40</v>
      </c>
      <c r="P89" s="1">
        <f t="shared" si="105"/>
        <v>22.400000000000002</v>
      </c>
      <c r="Q89">
        <v>15</v>
      </c>
      <c r="S89">
        <f t="shared" si="74"/>
        <v>0.7</v>
      </c>
      <c r="T89" s="1">
        <f t="shared" si="75"/>
        <v>0.63002532441219139</v>
      </c>
      <c r="U89" s="1">
        <f t="shared" si="76"/>
        <v>0.63506664053946538</v>
      </c>
      <c r="V89" s="1">
        <f t="shared" si="77"/>
        <v>1</v>
      </c>
      <c r="W89" s="1">
        <f t="shared" si="78"/>
        <v>0.63506664053946538</v>
      </c>
      <c r="X89" s="1">
        <f t="shared" si="79"/>
        <v>0.71004321783892754</v>
      </c>
      <c r="Y89">
        <v>0.95</v>
      </c>
      <c r="Z89" s="1">
        <f t="shared" si="80"/>
        <v>10.734175396804924</v>
      </c>
      <c r="AA89" s="1">
        <f t="shared" si="81"/>
        <v>0.19238254470776356</v>
      </c>
      <c r="AB89" s="1">
        <f t="shared" si="82"/>
        <v>0.41905572274194341</v>
      </c>
      <c r="AD89" s="1">
        <v>15</v>
      </c>
      <c r="AE89" s="1">
        <v>0.9</v>
      </c>
      <c r="AF89" s="1">
        <f t="shared" si="106"/>
        <v>13.5</v>
      </c>
      <c r="AG89" s="1">
        <f t="shared" si="98"/>
        <v>0.26470588235294118</v>
      </c>
      <c r="AH89" s="1">
        <v>0.95</v>
      </c>
      <c r="AI89" s="1">
        <v>0.8</v>
      </c>
      <c r="AJ89" s="1">
        <v>1</v>
      </c>
      <c r="AK89" s="1"/>
      <c r="AL89" s="1"/>
      <c r="AN89" s="1">
        <f t="shared" si="83"/>
        <v>0.9</v>
      </c>
      <c r="AO89" s="1">
        <f t="shared" si="84"/>
        <v>0.89799730352517937</v>
      </c>
      <c r="AP89" s="1">
        <f t="shared" si="85"/>
        <v>0.89799730352517937</v>
      </c>
      <c r="AQ89" s="1">
        <f t="shared" si="86"/>
        <v>0.95</v>
      </c>
      <c r="AR89" s="1">
        <f t="shared" si="87"/>
        <v>1</v>
      </c>
      <c r="AS89" s="1">
        <f t="shared" si="88"/>
        <v>0.98220753580258269</v>
      </c>
      <c r="AT89" s="1">
        <f t="shared" si="89"/>
        <v>0.92661625150274374</v>
      </c>
      <c r="AU89" s="11">
        <f t="shared" si="90"/>
        <v>0.38830384297791271</v>
      </c>
      <c r="AW89" s="1">
        <v>56</v>
      </c>
      <c r="AX89" s="12">
        <v>6</v>
      </c>
      <c r="AZ89" s="11">
        <f t="shared" si="91"/>
        <v>0.86153846153846159</v>
      </c>
      <c r="BA89" s="11">
        <f t="shared" si="92"/>
        <v>0.86153846153846159</v>
      </c>
      <c r="BB89" s="11">
        <f t="shared" si="93"/>
        <v>6.1349693251533744E-3</v>
      </c>
      <c r="BC89" s="11">
        <f t="shared" si="94"/>
        <v>6.1349693251533744E-3</v>
      </c>
      <c r="BD89" s="11">
        <f t="shared" si="95"/>
        <v>0.86964582113622901</v>
      </c>
      <c r="BF89" s="11">
        <f t="shared" si="96"/>
        <v>0.36220055697208792</v>
      </c>
      <c r="BG89" s="11">
        <f t="shared" si="97"/>
        <v>0.49676838865191519</v>
      </c>
      <c r="BI89" s="11">
        <v>0.49676838865191519</v>
      </c>
      <c r="BJ89" s="11">
        <v>0.37824423521116496</v>
      </c>
      <c r="BK89" s="11">
        <v>0.15197173274258002</v>
      </c>
      <c r="BM89" s="11">
        <f t="shared" si="100"/>
        <v>0.36423714373957289</v>
      </c>
      <c r="BN89" s="11">
        <f t="shared" si="99"/>
        <v>0.32275369003531029</v>
      </c>
      <c r="BP89" s="11">
        <f t="shared" si="66"/>
        <v>0.58552006365868092</v>
      </c>
      <c r="BQ89" s="11">
        <f t="shared" si="67"/>
        <v>0.51291958607437815</v>
      </c>
    </row>
    <row r="90" spans="1:69" x14ac:dyDescent="0.35">
      <c r="A90" t="s">
        <v>116</v>
      </c>
      <c r="B90" t="s">
        <v>118</v>
      </c>
      <c r="C90">
        <v>5</v>
      </c>
      <c r="D90" t="s">
        <v>56</v>
      </c>
      <c r="E90" t="s">
        <v>70</v>
      </c>
      <c r="F90">
        <v>0.7</v>
      </c>
      <c r="N90" s="1">
        <v>40</v>
      </c>
      <c r="O90" s="1">
        <v>40</v>
      </c>
      <c r="P90" s="1">
        <f t="shared" si="105"/>
        <v>22.400000000000002</v>
      </c>
      <c r="Q90">
        <v>5</v>
      </c>
      <c r="S90">
        <f t="shared" si="74"/>
        <v>0.7</v>
      </c>
      <c r="T90" s="1">
        <f t="shared" si="75"/>
        <v>0.63002532441219139</v>
      </c>
      <c r="U90" s="1">
        <f t="shared" si="76"/>
        <v>0.63506664053946538</v>
      </c>
      <c r="V90" s="1">
        <f t="shared" si="77"/>
        <v>1</v>
      </c>
      <c r="W90" s="1">
        <f t="shared" si="78"/>
        <v>0.63506664053946538</v>
      </c>
      <c r="X90" s="1">
        <f t="shared" si="79"/>
        <v>0.71004321783892754</v>
      </c>
      <c r="Y90">
        <v>0.85</v>
      </c>
      <c r="Z90" s="1">
        <f t="shared" si="80"/>
        <v>3.7086312500000003</v>
      </c>
      <c r="AA90" s="1">
        <f t="shared" si="81"/>
        <v>6.646769694764848E-2</v>
      </c>
      <c r="AB90" s="1">
        <f t="shared" si="82"/>
        <v>0.27393641150146425</v>
      </c>
      <c r="AD90" s="1">
        <v>5</v>
      </c>
      <c r="AE90" s="1">
        <v>0.95</v>
      </c>
      <c r="AF90" s="1">
        <f t="shared" si="106"/>
        <v>4.75</v>
      </c>
      <c r="AG90" s="1">
        <f t="shared" si="98"/>
        <v>9.3137254901960786E-2</v>
      </c>
      <c r="AH90" s="1">
        <v>0.95</v>
      </c>
      <c r="AI90" s="1">
        <v>0.8</v>
      </c>
      <c r="AJ90" s="1">
        <v>1</v>
      </c>
      <c r="AK90" s="1"/>
      <c r="AL90" s="1"/>
      <c r="AN90" s="1">
        <f t="shared" si="83"/>
        <v>0.95</v>
      </c>
      <c r="AO90" s="1">
        <f t="shared" si="84"/>
        <v>0.90923143121823813</v>
      </c>
      <c r="AP90" s="1">
        <f t="shared" si="85"/>
        <v>0.90923143121823813</v>
      </c>
      <c r="AQ90" s="1">
        <f t="shared" si="86"/>
        <v>0.95</v>
      </c>
      <c r="AR90" s="1">
        <f t="shared" si="87"/>
        <v>1</v>
      </c>
      <c r="AS90" s="1">
        <f t="shared" si="88"/>
        <v>0.98220753580258269</v>
      </c>
      <c r="AT90" s="1">
        <f t="shared" si="89"/>
        <v>0.9341347493761275</v>
      </c>
      <c r="AU90" s="11">
        <f t="shared" si="90"/>
        <v>0.25589352110291602</v>
      </c>
      <c r="AW90" s="1">
        <v>56</v>
      </c>
      <c r="AX90" s="12">
        <v>6</v>
      </c>
      <c r="AZ90" s="11">
        <f t="shared" si="91"/>
        <v>0.86153846153846159</v>
      </c>
      <c r="BA90" s="11">
        <f t="shared" si="92"/>
        <v>0.86153846153846159</v>
      </c>
      <c r="BB90" s="11">
        <f t="shared" si="93"/>
        <v>6.1349693251533744E-3</v>
      </c>
      <c r="BC90" s="11">
        <f t="shared" si="94"/>
        <v>6.1349693251533744E-3</v>
      </c>
      <c r="BD90" s="11">
        <f t="shared" si="95"/>
        <v>0.86964582113622901</v>
      </c>
      <c r="BF90" s="11">
        <f t="shared" si="96"/>
        <v>0.23869136900171489</v>
      </c>
      <c r="BG90" s="11">
        <f t="shared" si="97"/>
        <v>0.32737201664004961</v>
      </c>
      <c r="BI90" s="11">
        <v>0.32737201664004961</v>
      </c>
      <c r="BJ90" s="11">
        <v>0.37824423521116496</v>
      </c>
      <c r="BK90" s="11">
        <v>0.15197173274258002</v>
      </c>
      <c r="BM90" s="11">
        <f t="shared" si="100"/>
        <v>0.27106913913304681</v>
      </c>
      <c r="BN90" s="11">
        <f t="shared" si="99"/>
        <v>0.2888744156329372</v>
      </c>
      <c r="BP90" s="11">
        <f t="shared" si="66"/>
        <v>0.43575023121355955</v>
      </c>
      <c r="BQ90" s="11">
        <f t="shared" si="67"/>
        <v>0.45907870388008215</v>
      </c>
    </row>
    <row r="91" spans="1:69" x14ac:dyDescent="0.35">
      <c r="A91" t="s">
        <v>116</v>
      </c>
      <c r="B91" t="s">
        <v>119</v>
      </c>
      <c r="C91">
        <v>45</v>
      </c>
      <c r="D91" t="s">
        <v>56</v>
      </c>
      <c r="E91" t="s">
        <v>120</v>
      </c>
      <c r="F91">
        <v>0.7</v>
      </c>
      <c r="N91" s="1">
        <v>40</v>
      </c>
      <c r="O91" s="1">
        <v>40</v>
      </c>
      <c r="P91" s="1">
        <f t="shared" si="105"/>
        <v>22.400000000000002</v>
      </c>
      <c r="Q91">
        <v>45</v>
      </c>
      <c r="S91">
        <f t="shared" si="74"/>
        <v>0.7</v>
      </c>
      <c r="T91" s="1">
        <f t="shared" si="75"/>
        <v>0.63002532441219139</v>
      </c>
      <c r="U91" s="1">
        <f t="shared" si="76"/>
        <v>0.63506664053946538</v>
      </c>
      <c r="V91" s="1">
        <f t="shared" si="77"/>
        <v>1</v>
      </c>
      <c r="W91" s="1">
        <f t="shared" si="78"/>
        <v>0.63506664053946538</v>
      </c>
      <c r="X91" s="1">
        <f t="shared" si="79"/>
        <v>0.71004321783892754</v>
      </c>
      <c r="Y91">
        <v>0.98</v>
      </c>
      <c r="Z91" s="1">
        <f t="shared" si="80"/>
        <v>29.856106786328724</v>
      </c>
      <c r="AA91" s="1">
        <f t="shared" si="81"/>
        <v>0.5350940883945603</v>
      </c>
      <c r="AB91" s="1">
        <f t="shared" si="82"/>
        <v>0.63092475985327356</v>
      </c>
      <c r="AD91" s="1">
        <v>45</v>
      </c>
      <c r="AE91" s="1">
        <v>0.95</v>
      </c>
      <c r="AF91" s="1">
        <f t="shared" si="106"/>
        <v>42.75</v>
      </c>
      <c r="AG91" s="1">
        <f t="shared" si="98"/>
        <v>0.83823529411764708</v>
      </c>
      <c r="AH91" s="1">
        <v>0.95</v>
      </c>
      <c r="AI91" s="1">
        <v>0.9</v>
      </c>
      <c r="AJ91" s="1">
        <v>1</v>
      </c>
      <c r="AK91" s="1"/>
      <c r="AL91" s="1"/>
      <c r="AN91" s="1">
        <f t="shared" si="83"/>
        <v>0.95</v>
      </c>
      <c r="AO91" s="1">
        <f t="shared" si="84"/>
        <v>0.91056621806031601</v>
      </c>
      <c r="AP91" s="1">
        <f t="shared" si="85"/>
        <v>0.91056621806031601</v>
      </c>
      <c r="AQ91" s="1">
        <f t="shared" si="86"/>
        <v>0.95</v>
      </c>
      <c r="AR91" s="1">
        <f t="shared" si="87"/>
        <v>1</v>
      </c>
      <c r="AS91" s="1">
        <f t="shared" si="88"/>
        <v>0.98220753580258269</v>
      </c>
      <c r="AT91" s="1">
        <f t="shared" si="89"/>
        <v>0.93502589534551084</v>
      </c>
      <c r="AU91" s="11">
        <f t="shared" si="90"/>
        <v>0.58993098847745851</v>
      </c>
      <c r="AW91" s="1">
        <v>56</v>
      </c>
      <c r="AX91" s="12">
        <v>4</v>
      </c>
      <c r="AZ91" s="11">
        <f t="shared" si="91"/>
        <v>0.86153846153846159</v>
      </c>
      <c r="BA91" s="11">
        <f t="shared" si="92"/>
        <v>0.86153846153846159</v>
      </c>
      <c r="BB91" s="11">
        <f t="shared" si="93"/>
        <v>0</v>
      </c>
      <c r="BC91" s="11">
        <f t="shared" si="94"/>
        <v>0</v>
      </c>
      <c r="BD91" s="11">
        <f t="shared" si="95"/>
        <v>1</v>
      </c>
      <c r="BF91" s="11">
        <f t="shared" si="96"/>
        <v>0.57317371773204895</v>
      </c>
      <c r="BG91" s="11">
        <f t="shared" si="97"/>
        <v>0.78612409256267379</v>
      </c>
      <c r="BI91" s="11">
        <v>0.78612409256267379</v>
      </c>
      <c r="BJ91" s="11">
        <v>0.37824423521116496</v>
      </c>
      <c r="BK91" s="11">
        <v>0.15197173274258002</v>
      </c>
      <c r="BM91" s="11">
        <f t="shared" si="100"/>
        <v>0.52338278089049006</v>
      </c>
      <c r="BN91" s="11">
        <f t="shared" si="99"/>
        <v>0.38062483081746207</v>
      </c>
      <c r="BP91" s="11">
        <f t="shared" si="66"/>
        <v>0.84135054442434265</v>
      </c>
      <c r="BQ91" s="11">
        <f t="shared" si="67"/>
        <v>0.60488829934419674</v>
      </c>
    </row>
    <row r="92" spans="1:69" x14ac:dyDescent="0.35">
      <c r="A92" t="s">
        <v>121</v>
      </c>
      <c r="B92" t="s">
        <v>122</v>
      </c>
      <c r="C92">
        <v>15</v>
      </c>
      <c r="D92" t="s">
        <v>53</v>
      </c>
      <c r="E92" t="s">
        <v>93</v>
      </c>
      <c r="F92">
        <v>1</v>
      </c>
      <c r="G92">
        <v>7.0000000000000007E-2</v>
      </c>
      <c r="H92">
        <v>1</v>
      </c>
      <c r="I92">
        <f t="shared" ref="I92:I127" si="107">G92*H92</f>
        <v>7.0000000000000007E-2</v>
      </c>
      <c r="J92">
        <v>0.14000000000000001</v>
      </c>
      <c r="K92">
        <v>1</v>
      </c>
      <c r="L92">
        <f t="shared" ref="L92:L127" si="108">J92*K92</f>
        <v>0.14000000000000001</v>
      </c>
      <c r="M92">
        <v>0.3</v>
      </c>
      <c r="N92" s="1">
        <f t="shared" ref="N92:N127" si="109">2*DEGREES(ATAN(I92/(2*M92)))</f>
        <v>13.308850092013193</v>
      </c>
      <c r="O92" s="1">
        <f t="shared" ref="O92:O127" si="110">2*DEGREES(ATAN(L92/(2*M92)))</f>
        <v>26.26804461279265</v>
      </c>
      <c r="P92" s="1">
        <f t="shared" ref="P92:P127" si="111">AVERAGE(N92:O92)</f>
        <v>19.788447352402923</v>
      </c>
      <c r="Q92">
        <v>15</v>
      </c>
      <c r="S92">
        <f t="shared" si="74"/>
        <v>1</v>
      </c>
      <c r="T92" s="1">
        <f t="shared" si="75"/>
        <v>0.55657245369692943</v>
      </c>
      <c r="U92" s="1">
        <f t="shared" si="76"/>
        <v>0.58955606048627085</v>
      </c>
      <c r="V92" s="1">
        <f t="shared" si="77"/>
        <v>1</v>
      </c>
      <c r="W92" s="1">
        <f t="shared" si="78"/>
        <v>0.58955606048627085</v>
      </c>
      <c r="X92" s="1">
        <f t="shared" si="79"/>
        <v>0.65915961501066944</v>
      </c>
      <c r="Y92">
        <v>0.95</v>
      </c>
      <c r="Z92" s="1">
        <f t="shared" si="80"/>
        <v>10.734175396804924</v>
      </c>
      <c r="AA92" s="1">
        <f t="shared" si="81"/>
        <v>0.19238254470776356</v>
      </c>
      <c r="AB92" s="1">
        <f t="shared" si="82"/>
        <v>0.46603004205260995</v>
      </c>
      <c r="AD92" s="1">
        <v>15</v>
      </c>
      <c r="AE92" s="1">
        <v>0.02</v>
      </c>
      <c r="AF92" s="1">
        <f t="shared" si="106"/>
        <v>0.3</v>
      </c>
      <c r="AG92" s="1">
        <f t="shared" si="98"/>
        <v>5.8823529411764705E-3</v>
      </c>
      <c r="AH92" s="1">
        <v>1</v>
      </c>
      <c r="AI92" s="1">
        <v>0.24</v>
      </c>
      <c r="AJ92" s="1">
        <v>1</v>
      </c>
      <c r="AK92" s="1"/>
      <c r="AL92" s="1"/>
      <c r="AN92" s="1">
        <f t="shared" si="83"/>
        <v>0.02</v>
      </c>
      <c r="AO92" s="1">
        <f t="shared" si="84"/>
        <v>8.47877190132027E-2</v>
      </c>
      <c r="AP92" s="1">
        <f t="shared" si="85"/>
        <v>8.47877190132027E-2</v>
      </c>
      <c r="AQ92" s="1">
        <f t="shared" si="86"/>
        <v>1</v>
      </c>
      <c r="AR92" s="1">
        <f t="shared" si="87"/>
        <v>1</v>
      </c>
      <c r="AS92" s="1">
        <f t="shared" si="88"/>
        <v>1</v>
      </c>
      <c r="AT92" s="1">
        <f t="shared" si="89"/>
        <v>0.20110201341206912</v>
      </c>
      <c r="AU92" s="11">
        <f t="shared" si="90"/>
        <v>9.3719579767291103E-2</v>
      </c>
      <c r="AW92" s="1">
        <v>46</v>
      </c>
      <c r="AX92" s="12">
        <v>30</v>
      </c>
      <c r="AZ92" s="11">
        <f t="shared" si="91"/>
        <v>0.70769230769230773</v>
      </c>
      <c r="BA92" s="11">
        <f t="shared" si="92"/>
        <v>0.70769230769230773</v>
      </c>
      <c r="BB92" s="11">
        <f t="shared" si="93"/>
        <v>7.9754601226993863E-2</v>
      </c>
      <c r="BC92" s="11">
        <f t="shared" si="94"/>
        <v>7.9754601226993863E-2</v>
      </c>
      <c r="BD92" s="11">
        <f t="shared" si="95"/>
        <v>0.63633433542305862</v>
      </c>
      <c r="BF92" s="11">
        <f t="shared" si="96"/>
        <v>7.8845039959905466E-2</v>
      </c>
      <c r="BG92" s="11">
        <f t="shared" si="97"/>
        <v>0.10813821983464389</v>
      </c>
      <c r="BI92" s="11">
        <v>0.10813821983464389</v>
      </c>
      <c r="BJ92" s="11">
        <v>0.93281158798782171</v>
      </c>
      <c r="BK92" s="11">
        <v>0.05</v>
      </c>
      <c r="BM92" s="11">
        <f t="shared" si="100"/>
        <v>0.1702571797078363</v>
      </c>
      <c r="BN92" s="11">
        <f t="shared" si="99"/>
        <v>0.45889285856144857</v>
      </c>
      <c r="BP92" s="11">
        <f t="shared" si="66"/>
        <v>0.27369255556252864</v>
      </c>
      <c r="BQ92" s="11">
        <f t="shared" si="67"/>
        <v>0.72927170883801695</v>
      </c>
    </row>
    <row r="93" spans="1:69" x14ac:dyDescent="0.35">
      <c r="A93" t="s">
        <v>121</v>
      </c>
      <c r="B93" t="s">
        <v>122</v>
      </c>
      <c r="C93">
        <v>10</v>
      </c>
      <c r="D93" t="s">
        <v>53</v>
      </c>
      <c r="E93" t="s">
        <v>94</v>
      </c>
      <c r="F93">
        <v>1</v>
      </c>
      <c r="G93">
        <v>7.0000000000000007E-2</v>
      </c>
      <c r="H93">
        <v>1</v>
      </c>
      <c r="I93">
        <f t="shared" si="107"/>
        <v>7.0000000000000007E-2</v>
      </c>
      <c r="J93">
        <v>0.14000000000000001</v>
      </c>
      <c r="K93">
        <v>1</v>
      </c>
      <c r="L93">
        <f t="shared" si="108"/>
        <v>0.14000000000000001</v>
      </c>
      <c r="M93">
        <v>0.3</v>
      </c>
      <c r="N93" s="1">
        <f t="shared" si="109"/>
        <v>13.308850092013193</v>
      </c>
      <c r="O93" s="1">
        <f t="shared" si="110"/>
        <v>26.26804461279265</v>
      </c>
      <c r="P93" s="1">
        <f t="shared" si="111"/>
        <v>19.788447352402923</v>
      </c>
      <c r="Q93">
        <v>10</v>
      </c>
      <c r="S93">
        <f t="shared" si="74"/>
        <v>1</v>
      </c>
      <c r="T93" s="1">
        <f t="shared" si="75"/>
        <v>0.55657245369692943</v>
      </c>
      <c r="U93" s="1">
        <f t="shared" si="76"/>
        <v>0.58955606048627085</v>
      </c>
      <c r="V93" s="1">
        <f t="shared" si="77"/>
        <v>1</v>
      </c>
      <c r="W93" s="1">
        <f t="shared" si="78"/>
        <v>0.58955606048627085</v>
      </c>
      <c r="X93" s="1">
        <f t="shared" si="79"/>
        <v>0.65915961501066944</v>
      </c>
      <c r="Y93">
        <v>0.9</v>
      </c>
      <c r="Z93" s="1">
        <f t="shared" si="80"/>
        <v>6.5132155989999996</v>
      </c>
      <c r="AA93" s="1">
        <f t="shared" si="81"/>
        <v>0.11673267343282748</v>
      </c>
      <c r="AB93" s="1">
        <f t="shared" si="82"/>
        <v>0.38161428263304875</v>
      </c>
      <c r="AD93" s="1">
        <v>10</v>
      </c>
      <c r="AE93" s="1">
        <v>0.03</v>
      </c>
      <c r="AF93" s="1">
        <f t="shared" si="106"/>
        <v>0.3</v>
      </c>
      <c r="AG93" s="1">
        <f t="shared" si="98"/>
        <v>5.8823529411764705E-3</v>
      </c>
      <c r="AH93" s="1">
        <v>1</v>
      </c>
      <c r="AI93" s="1">
        <v>0.24</v>
      </c>
      <c r="AJ93" s="1">
        <v>1</v>
      </c>
      <c r="AK93" s="1"/>
      <c r="AL93" s="1"/>
      <c r="AN93" s="1">
        <f t="shared" si="83"/>
        <v>0.03</v>
      </c>
      <c r="AO93" s="1">
        <f t="shared" si="84"/>
        <v>0.10155946023235141</v>
      </c>
      <c r="AP93" s="1">
        <f t="shared" si="85"/>
        <v>0.10155946023235141</v>
      </c>
      <c r="AQ93" s="1">
        <f t="shared" si="86"/>
        <v>1</v>
      </c>
      <c r="AR93" s="1">
        <f t="shared" si="87"/>
        <v>1</v>
      </c>
      <c r="AS93" s="1">
        <f t="shared" si="88"/>
        <v>1</v>
      </c>
      <c r="AT93" s="1">
        <f t="shared" si="89"/>
        <v>0.2261352417191885</v>
      </c>
      <c r="AU93" s="11">
        <f t="shared" si="90"/>
        <v>8.6296438046719201E-2</v>
      </c>
      <c r="AW93" s="1">
        <v>46</v>
      </c>
      <c r="AX93" s="12">
        <v>30</v>
      </c>
      <c r="AZ93" s="11">
        <f t="shared" si="91"/>
        <v>0.70769230769230773</v>
      </c>
      <c r="BA93" s="11">
        <f t="shared" si="92"/>
        <v>0.70769230769230773</v>
      </c>
      <c r="BB93" s="11">
        <f t="shared" si="93"/>
        <v>7.9754601226993863E-2</v>
      </c>
      <c r="BC93" s="11">
        <f t="shared" si="94"/>
        <v>7.9754601226993863E-2</v>
      </c>
      <c r="BD93" s="11">
        <f t="shared" si="95"/>
        <v>0.63633433542305862</v>
      </c>
      <c r="BF93" s="11">
        <f t="shared" si="96"/>
        <v>7.2600049243559978E-2</v>
      </c>
      <c r="BG93" s="11">
        <f t="shared" si="97"/>
        <v>9.9573037049615246E-2</v>
      </c>
      <c r="BI93" s="11">
        <v>9.9573037049615246E-2</v>
      </c>
      <c r="BJ93" s="11">
        <v>0.93281158798782171</v>
      </c>
      <c r="BK93" s="11">
        <v>0.05</v>
      </c>
      <c r="BM93" s="11">
        <f t="shared" si="100"/>
        <v>0.16554632917607057</v>
      </c>
      <c r="BN93" s="11">
        <f t="shared" si="99"/>
        <v>0.45717982200444285</v>
      </c>
      <c r="BP93" s="11">
        <f t="shared" si="66"/>
        <v>0.26611974880557099</v>
      </c>
      <c r="BQ93" s="11">
        <f t="shared" si="67"/>
        <v>0.72654935421008526</v>
      </c>
    </row>
    <row r="94" spans="1:69" x14ac:dyDescent="0.35">
      <c r="A94" t="s">
        <v>121</v>
      </c>
      <c r="B94" t="s">
        <v>122</v>
      </c>
      <c r="C94">
        <v>5</v>
      </c>
      <c r="D94" t="s">
        <v>53</v>
      </c>
      <c r="E94" t="s">
        <v>123</v>
      </c>
      <c r="F94">
        <v>1</v>
      </c>
      <c r="G94">
        <v>7.0000000000000007E-2</v>
      </c>
      <c r="H94">
        <v>1</v>
      </c>
      <c r="I94">
        <f t="shared" si="107"/>
        <v>7.0000000000000007E-2</v>
      </c>
      <c r="J94">
        <v>0.14000000000000001</v>
      </c>
      <c r="K94">
        <v>1</v>
      </c>
      <c r="L94">
        <f t="shared" si="108"/>
        <v>0.14000000000000001</v>
      </c>
      <c r="M94">
        <v>0.3</v>
      </c>
      <c r="N94" s="1">
        <f t="shared" si="109"/>
        <v>13.308850092013193</v>
      </c>
      <c r="O94" s="1">
        <f t="shared" si="110"/>
        <v>26.26804461279265</v>
      </c>
      <c r="P94" s="1">
        <f t="shared" si="111"/>
        <v>19.788447352402923</v>
      </c>
      <c r="Q94">
        <v>5</v>
      </c>
      <c r="S94">
        <f t="shared" si="74"/>
        <v>1</v>
      </c>
      <c r="T94" s="1">
        <f t="shared" si="75"/>
        <v>0.55657245369692943</v>
      </c>
      <c r="U94" s="1">
        <f t="shared" si="76"/>
        <v>0.58955606048627085</v>
      </c>
      <c r="V94" s="1">
        <f t="shared" si="77"/>
        <v>1</v>
      </c>
      <c r="W94" s="1">
        <f t="shared" si="78"/>
        <v>0.58955606048627085</v>
      </c>
      <c r="X94" s="1">
        <f t="shared" si="79"/>
        <v>0.65915961501066944</v>
      </c>
      <c r="Y94">
        <v>0.85</v>
      </c>
      <c r="Z94" s="1">
        <f t="shared" si="80"/>
        <v>3.7086312500000003</v>
      </c>
      <c r="AA94" s="1">
        <f t="shared" si="81"/>
        <v>6.646769694764848E-2</v>
      </c>
      <c r="AB94" s="1">
        <f t="shared" si="82"/>
        <v>0.30464348878581887</v>
      </c>
      <c r="AD94" s="1">
        <v>5</v>
      </c>
      <c r="AE94" s="1">
        <v>0.05</v>
      </c>
      <c r="AF94" s="1">
        <f t="shared" si="106"/>
        <v>0.25</v>
      </c>
      <c r="AG94" s="1">
        <f t="shared" si="98"/>
        <v>4.9019607843137254E-3</v>
      </c>
      <c r="AH94" s="1">
        <v>1</v>
      </c>
      <c r="AI94" s="1">
        <v>0.24</v>
      </c>
      <c r="AJ94" s="1">
        <v>1</v>
      </c>
      <c r="AK94" s="1"/>
      <c r="AL94" s="1"/>
      <c r="AN94" s="1">
        <f t="shared" si="83"/>
        <v>0.05</v>
      </c>
      <c r="AO94" s="1">
        <f t="shared" si="84"/>
        <v>0.13910834066826516</v>
      </c>
      <c r="AP94" s="1">
        <f t="shared" si="85"/>
        <v>0.13910834066826516</v>
      </c>
      <c r="AQ94" s="1">
        <f t="shared" si="86"/>
        <v>1</v>
      </c>
      <c r="AR94" s="1">
        <f t="shared" si="87"/>
        <v>1</v>
      </c>
      <c r="AS94" s="1">
        <f t="shared" si="88"/>
        <v>1</v>
      </c>
      <c r="AT94" s="1">
        <f t="shared" si="89"/>
        <v>0.27744669811295569</v>
      </c>
      <c r="AU94" s="11">
        <f t="shared" si="90"/>
        <v>8.4522330065236698E-2</v>
      </c>
      <c r="AW94" s="1">
        <v>46</v>
      </c>
      <c r="AX94" s="12">
        <v>30</v>
      </c>
      <c r="AZ94" s="11">
        <f t="shared" si="91"/>
        <v>0.70769230769230773</v>
      </c>
      <c r="BA94" s="11">
        <f t="shared" si="92"/>
        <v>0.70769230769230773</v>
      </c>
      <c r="BB94" s="11">
        <f t="shared" si="93"/>
        <v>7.9754601226993863E-2</v>
      </c>
      <c r="BC94" s="11">
        <f t="shared" si="94"/>
        <v>7.9754601226993863E-2</v>
      </c>
      <c r="BD94" s="11">
        <f t="shared" si="95"/>
        <v>0.63633433542305862</v>
      </c>
      <c r="BF94" s="11">
        <f t="shared" si="96"/>
        <v>7.110751571918332E-2</v>
      </c>
      <c r="BG94" s="11">
        <f t="shared" si="97"/>
        <v>9.7525984775284555E-2</v>
      </c>
      <c r="BI94" s="11">
        <v>9.7525984775284555E-2</v>
      </c>
      <c r="BJ94" s="11">
        <v>0.93281158798782171</v>
      </c>
      <c r="BK94" s="11">
        <v>0.05</v>
      </c>
      <c r="BM94" s="11">
        <f t="shared" si="100"/>
        <v>0.16442045042518869</v>
      </c>
      <c r="BN94" s="11">
        <f t="shared" si="99"/>
        <v>0.4567704115495767</v>
      </c>
      <c r="BP94" s="11">
        <f t="shared" si="66"/>
        <v>0.26430987134189404</v>
      </c>
      <c r="BQ94" s="11">
        <f t="shared" si="67"/>
        <v>0.72589871984856491</v>
      </c>
    </row>
    <row r="95" spans="1:69" x14ac:dyDescent="0.35">
      <c r="A95" t="s">
        <v>121</v>
      </c>
      <c r="B95" t="s">
        <v>124</v>
      </c>
      <c r="C95">
        <v>30</v>
      </c>
      <c r="D95" t="s">
        <v>53</v>
      </c>
      <c r="E95" t="s">
        <v>91</v>
      </c>
      <c r="F95">
        <v>1</v>
      </c>
      <c r="G95">
        <v>0.38</v>
      </c>
      <c r="H95">
        <v>0.6</v>
      </c>
      <c r="I95">
        <f t="shared" si="107"/>
        <v>0.22799999999999998</v>
      </c>
      <c r="J95">
        <v>0.22</v>
      </c>
      <c r="K95">
        <v>0.6</v>
      </c>
      <c r="L95">
        <f t="shared" si="108"/>
        <v>0.13200000000000001</v>
      </c>
      <c r="M95">
        <v>0.4</v>
      </c>
      <c r="N95" s="1">
        <f t="shared" si="109"/>
        <v>31.815103861051682</v>
      </c>
      <c r="O95" s="1">
        <f t="shared" si="110"/>
        <v>18.738770192974965</v>
      </c>
      <c r="P95" s="1">
        <f t="shared" si="111"/>
        <v>25.276937027013325</v>
      </c>
      <c r="Q95">
        <v>30</v>
      </c>
      <c r="S95">
        <f t="shared" si="74"/>
        <v>1</v>
      </c>
      <c r="T95" s="1">
        <f t="shared" si="75"/>
        <v>0.71094243082993758</v>
      </c>
      <c r="U95" s="1">
        <f t="shared" si="76"/>
        <v>0.67938295976267871</v>
      </c>
      <c r="V95" s="1">
        <f t="shared" si="77"/>
        <v>1</v>
      </c>
      <c r="W95" s="1">
        <f t="shared" si="78"/>
        <v>0.67938295976267871</v>
      </c>
      <c r="X95" s="1">
        <f t="shared" si="79"/>
        <v>0.75959156425702612</v>
      </c>
      <c r="Y95">
        <v>0.97499999999999998</v>
      </c>
      <c r="Z95" s="1">
        <f t="shared" si="80"/>
        <v>21.284628068826386</v>
      </c>
      <c r="AA95" s="1">
        <f t="shared" si="81"/>
        <v>0.38147233109847867</v>
      </c>
      <c r="AB95" s="1">
        <f t="shared" si="82"/>
        <v>0.63493643694302304</v>
      </c>
      <c r="AD95" s="1">
        <v>30</v>
      </c>
      <c r="AE95" s="1">
        <v>0.35</v>
      </c>
      <c r="AF95" s="1">
        <f t="shared" si="106"/>
        <v>10.5</v>
      </c>
      <c r="AG95" s="1">
        <f t="shared" si="98"/>
        <v>0.20588235294117646</v>
      </c>
      <c r="AH95" s="1">
        <v>0.72</v>
      </c>
      <c r="AI95" s="1">
        <v>0.8</v>
      </c>
      <c r="AJ95" s="1">
        <v>1.5</v>
      </c>
      <c r="AK95" s="1"/>
      <c r="AL95" s="1"/>
      <c r="AN95" s="1">
        <f t="shared" si="83"/>
        <v>0.35</v>
      </c>
      <c r="AO95" s="1">
        <f t="shared" si="84"/>
        <v>0.72568362805033981</v>
      </c>
      <c r="AP95" s="1">
        <f t="shared" si="85"/>
        <v>0.72568362805033981</v>
      </c>
      <c r="AQ95" s="1">
        <f t="shared" si="86"/>
        <v>0.72</v>
      </c>
      <c r="AR95" s="1">
        <f t="shared" si="87"/>
        <v>0.90909090909090906</v>
      </c>
      <c r="AS95" s="1">
        <f t="shared" si="88"/>
        <v>0.83784007306318942</v>
      </c>
      <c r="AT95" s="1">
        <f t="shared" si="89"/>
        <v>0.76311880608081939</v>
      </c>
      <c r="AU95" s="11">
        <f t="shared" si="90"/>
        <v>0.48453193569716924</v>
      </c>
      <c r="AW95" s="1">
        <v>46</v>
      </c>
      <c r="AX95" s="12">
        <v>15</v>
      </c>
      <c r="AZ95" s="11">
        <f t="shared" si="91"/>
        <v>0.70769230769230773</v>
      </c>
      <c r="BA95" s="11">
        <f t="shared" si="92"/>
        <v>0.70769230769230773</v>
      </c>
      <c r="BB95" s="11">
        <f t="shared" si="93"/>
        <v>3.3742331288343558E-2</v>
      </c>
      <c r="BC95" s="11">
        <f t="shared" si="94"/>
        <v>3.3742331288343558E-2</v>
      </c>
      <c r="BD95" s="11">
        <f t="shared" si="95"/>
        <v>0.74220764493282787</v>
      </c>
      <c r="BF95" s="11">
        <f t="shared" si="96"/>
        <v>0.41977186068115085</v>
      </c>
      <c r="BG95" s="11">
        <f t="shared" si="97"/>
        <v>0.57572907279670849</v>
      </c>
      <c r="BI95" s="11">
        <v>0.57572907279670849</v>
      </c>
      <c r="BJ95" s="11">
        <v>0.93281158798782171</v>
      </c>
      <c r="BK95" s="11">
        <v>0.1</v>
      </c>
      <c r="BM95" s="11">
        <f t="shared" si="100"/>
        <v>0.44493214883697185</v>
      </c>
      <c r="BN95" s="11">
        <f t="shared" si="99"/>
        <v>0.56991102915386149</v>
      </c>
      <c r="BP95" s="11">
        <f t="shared" si="66"/>
        <v>0.7152392461574022</v>
      </c>
      <c r="BQ95" s="11">
        <f t="shared" si="67"/>
        <v>0.90570158668314815</v>
      </c>
    </row>
    <row r="96" spans="1:69" x14ac:dyDescent="0.35">
      <c r="A96" t="s">
        <v>121</v>
      </c>
      <c r="B96" t="s">
        <v>124</v>
      </c>
      <c r="C96">
        <v>25</v>
      </c>
      <c r="D96" t="s">
        <v>53</v>
      </c>
      <c r="E96" t="s">
        <v>92</v>
      </c>
      <c r="F96">
        <v>1</v>
      </c>
      <c r="G96">
        <v>0.38</v>
      </c>
      <c r="H96">
        <v>0.6</v>
      </c>
      <c r="I96">
        <f t="shared" si="107"/>
        <v>0.22799999999999998</v>
      </c>
      <c r="J96">
        <v>0.22</v>
      </c>
      <c r="K96">
        <v>0.6</v>
      </c>
      <c r="L96">
        <f t="shared" si="108"/>
        <v>0.13200000000000001</v>
      </c>
      <c r="M96">
        <v>0.4</v>
      </c>
      <c r="N96" s="1">
        <f t="shared" si="109"/>
        <v>31.815103861051682</v>
      </c>
      <c r="O96" s="1">
        <f t="shared" si="110"/>
        <v>18.738770192974965</v>
      </c>
      <c r="P96" s="1">
        <f t="shared" si="111"/>
        <v>25.276937027013325</v>
      </c>
      <c r="Q96">
        <v>25</v>
      </c>
      <c r="S96">
        <f t="shared" si="74"/>
        <v>1</v>
      </c>
      <c r="T96" s="1">
        <f t="shared" si="75"/>
        <v>0.71094243082993758</v>
      </c>
      <c r="U96" s="1">
        <f t="shared" si="76"/>
        <v>0.67938295976267871</v>
      </c>
      <c r="V96" s="1">
        <f t="shared" si="77"/>
        <v>1</v>
      </c>
      <c r="W96" s="1">
        <f t="shared" si="78"/>
        <v>0.67938295976267871</v>
      </c>
      <c r="X96" s="1">
        <f t="shared" si="79"/>
        <v>0.75959156425702612</v>
      </c>
      <c r="Y96">
        <v>0.97</v>
      </c>
      <c r="Z96" s="1">
        <f t="shared" si="80"/>
        <v>17.767509824854258</v>
      </c>
      <c r="AA96" s="1">
        <f t="shared" si="81"/>
        <v>0.31843701326541424</v>
      </c>
      <c r="AB96" s="1">
        <f t="shared" si="82"/>
        <v>0.59068297014930971</v>
      </c>
      <c r="AD96" s="1">
        <v>25</v>
      </c>
      <c r="AE96" s="1">
        <v>0.4</v>
      </c>
      <c r="AF96" s="1">
        <f t="shared" si="106"/>
        <v>10</v>
      </c>
      <c r="AG96" s="1">
        <f t="shared" si="98"/>
        <v>0.19607843137254902</v>
      </c>
      <c r="AH96" s="1">
        <v>0.72</v>
      </c>
      <c r="AI96" s="1">
        <v>0.8</v>
      </c>
      <c r="AJ96" s="1">
        <v>1.5</v>
      </c>
      <c r="AK96" s="1"/>
      <c r="AL96" s="1"/>
      <c r="AN96" s="1">
        <f t="shared" si="83"/>
        <v>0.4</v>
      </c>
      <c r="AO96" s="1">
        <f t="shared" si="84"/>
        <v>0.75505050941969187</v>
      </c>
      <c r="AP96" s="1">
        <f t="shared" si="85"/>
        <v>0.75505050941969187</v>
      </c>
      <c r="AQ96" s="1">
        <f t="shared" si="86"/>
        <v>0.72</v>
      </c>
      <c r="AR96" s="1">
        <f t="shared" si="87"/>
        <v>0.90909090909090906</v>
      </c>
      <c r="AS96" s="1">
        <f t="shared" si="88"/>
        <v>0.83784007306318942</v>
      </c>
      <c r="AT96" s="1">
        <f t="shared" si="89"/>
        <v>0.78305235158879283</v>
      </c>
      <c r="AU96" s="11">
        <f t="shared" si="90"/>
        <v>0.46253568881886969</v>
      </c>
      <c r="AW96" s="1">
        <v>46</v>
      </c>
      <c r="AX96" s="12">
        <v>15</v>
      </c>
      <c r="AZ96" s="11">
        <f t="shared" si="91"/>
        <v>0.70769230769230773</v>
      </c>
      <c r="BA96" s="11">
        <f t="shared" si="92"/>
        <v>0.70769230769230773</v>
      </c>
      <c r="BB96" s="11">
        <f t="shared" si="93"/>
        <v>3.3742331288343558E-2</v>
      </c>
      <c r="BC96" s="11">
        <f t="shared" si="94"/>
        <v>3.3742331288343558E-2</v>
      </c>
      <c r="BD96" s="11">
        <f t="shared" si="95"/>
        <v>0.74220764493282787</v>
      </c>
      <c r="BF96" s="11">
        <f t="shared" si="96"/>
        <v>0.40071552032492591</v>
      </c>
      <c r="BG96" s="11">
        <f t="shared" si="97"/>
        <v>0.54959275878465175</v>
      </c>
      <c r="BI96" s="11">
        <v>0.54959275878465175</v>
      </c>
      <c r="BJ96" s="11">
        <v>0.93281158798782171</v>
      </c>
      <c r="BK96" s="11">
        <v>0.1</v>
      </c>
      <c r="BM96" s="11">
        <f t="shared" si="100"/>
        <v>0.43055717613034067</v>
      </c>
      <c r="BN96" s="11">
        <f t="shared" si="99"/>
        <v>0.56468376635145012</v>
      </c>
      <c r="BP96" s="11">
        <f t="shared" si="66"/>
        <v>0.69213112805647481</v>
      </c>
      <c r="BQ96" s="11">
        <f t="shared" si="67"/>
        <v>0.89739443000084496</v>
      </c>
    </row>
    <row r="97" spans="1:69" x14ac:dyDescent="0.35">
      <c r="A97" t="s">
        <v>121</v>
      </c>
      <c r="B97" t="s">
        <v>124</v>
      </c>
      <c r="C97">
        <v>20</v>
      </c>
      <c r="D97" t="s">
        <v>53</v>
      </c>
      <c r="E97" t="s">
        <v>55</v>
      </c>
      <c r="F97">
        <v>1</v>
      </c>
      <c r="G97">
        <v>0.38</v>
      </c>
      <c r="H97">
        <v>0.6</v>
      </c>
      <c r="I97">
        <f t="shared" si="107"/>
        <v>0.22799999999999998</v>
      </c>
      <c r="J97">
        <v>0.22</v>
      </c>
      <c r="K97">
        <v>0.6</v>
      </c>
      <c r="L97">
        <f t="shared" si="108"/>
        <v>0.13200000000000001</v>
      </c>
      <c r="M97">
        <v>0.4</v>
      </c>
      <c r="N97" s="1">
        <f t="shared" si="109"/>
        <v>31.815103861051682</v>
      </c>
      <c r="O97" s="1">
        <f t="shared" si="110"/>
        <v>18.738770192974965</v>
      </c>
      <c r="P97" s="1">
        <f t="shared" si="111"/>
        <v>25.276937027013325</v>
      </c>
      <c r="Q97">
        <v>20</v>
      </c>
      <c r="S97">
        <f t="shared" si="74"/>
        <v>1</v>
      </c>
      <c r="T97" s="1">
        <f t="shared" si="75"/>
        <v>0.71094243082993758</v>
      </c>
      <c r="U97" s="1">
        <f t="shared" si="76"/>
        <v>0.67938295976267871</v>
      </c>
      <c r="V97" s="1">
        <f t="shared" si="77"/>
        <v>1</v>
      </c>
      <c r="W97" s="1">
        <f t="shared" si="78"/>
        <v>0.67938295976267871</v>
      </c>
      <c r="X97" s="1">
        <f t="shared" si="79"/>
        <v>0.75959156425702612</v>
      </c>
      <c r="Y97">
        <v>0.96</v>
      </c>
      <c r="Z97" s="1">
        <f t="shared" si="80"/>
        <v>13.949939153014794</v>
      </c>
      <c r="AA97" s="1">
        <f t="shared" si="81"/>
        <v>0.25001685677451041</v>
      </c>
      <c r="AB97" s="1">
        <f t="shared" si="82"/>
        <v>0.53620733379652297</v>
      </c>
      <c r="AD97" s="1">
        <v>20</v>
      </c>
      <c r="AE97" s="1">
        <v>0.45</v>
      </c>
      <c r="AF97" s="1">
        <f t="shared" si="106"/>
        <v>9</v>
      </c>
      <c r="AG97" s="1">
        <f t="shared" si="98"/>
        <v>0.17647058823529413</v>
      </c>
      <c r="AH97" s="1">
        <v>0.72</v>
      </c>
      <c r="AI97" s="1">
        <v>0.8</v>
      </c>
      <c r="AJ97" s="1">
        <v>1.5</v>
      </c>
      <c r="AK97" s="1"/>
      <c r="AL97" s="1"/>
      <c r="AN97" s="1">
        <f t="shared" si="83"/>
        <v>0.45</v>
      </c>
      <c r="AO97" s="1">
        <f t="shared" si="84"/>
        <v>0.7812039410629994</v>
      </c>
      <c r="AP97" s="1">
        <f t="shared" si="85"/>
        <v>0.7812039410629994</v>
      </c>
      <c r="AQ97" s="1">
        <f t="shared" si="86"/>
        <v>0.72</v>
      </c>
      <c r="AR97" s="1">
        <f t="shared" si="87"/>
        <v>0.90909090909090906</v>
      </c>
      <c r="AS97" s="1">
        <f t="shared" si="88"/>
        <v>0.83784007306318942</v>
      </c>
      <c r="AT97" s="1">
        <f t="shared" si="89"/>
        <v>0.80057729970381997</v>
      </c>
      <c r="AU97" s="11">
        <f t="shared" si="90"/>
        <v>0.4292754193722052</v>
      </c>
      <c r="AW97" s="1">
        <v>46</v>
      </c>
      <c r="AX97" s="12">
        <v>15</v>
      </c>
      <c r="AZ97" s="11">
        <f t="shared" si="91"/>
        <v>0.70769230769230773</v>
      </c>
      <c r="BA97" s="11">
        <f t="shared" si="92"/>
        <v>0.70769230769230773</v>
      </c>
      <c r="BB97" s="11">
        <f t="shared" si="93"/>
        <v>3.3742331288343558E-2</v>
      </c>
      <c r="BC97" s="11">
        <f t="shared" si="94"/>
        <v>3.3742331288343558E-2</v>
      </c>
      <c r="BD97" s="11">
        <f t="shared" si="95"/>
        <v>0.74220764493282787</v>
      </c>
      <c r="BF97" s="11">
        <f t="shared" si="96"/>
        <v>0.37190064938707135</v>
      </c>
      <c r="BG97" s="11">
        <f t="shared" si="97"/>
        <v>0.51007234190656836</v>
      </c>
      <c r="BI97" s="11">
        <v>0.51007234190656836</v>
      </c>
      <c r="BJ97" s="11">
        <v>0.93281158798782171</v>
      </c>
      <c r="BK97" s="11">
        <v>0.1</v>
      </c>
      <c r="BM97" s="11">
        <f t="shared" si="100"/>
        <v>0.40882094684739478</v>
      </c>
      <c r="BN97" s="11">
        <f t="shared" si="99"/>
        <v>0.55677968297583347</v>
      </c>
      <c r="BP97" s="11">
        <f t="shared" si="66"/>
        <v>0.65718961104702378</v>
      </c>
      <c r="BQ97" s="11">
        <f t="shared" si="67"/>
        <v>0.88483327485843555</v>
      </c>
    </row>
    <row r="98" spans="1:69" x14ac:dyDescent="0.35">
      <c r="A98" t="s">
        <v>121</v>
      </c>
      <c r="B98" t="s">
        <v>124</v>
      </c>
      <c r="C98">
        <v>15</v>
      </c>
      <c r="D98" t="s">
        <v>53</v>
      </c>
      <c r="E98" t="s">
        <v>93</v>
      </c>
      <c r="F98">
        <v>1</v>
      </c>
      <c r="G98">
        <v>0.38</v>
      </c>
      <c r="H98">
        <v>0.6</v>
      </c>
      <c r="I98">
        <f t="shared" si="107"/>
        <v>0.22799999999999998</v>
      </c>
      <c r="J98">
        <v>0.22</v>
      </c>
      <c r="K98">
        <v>0.6</v>
      </c>
      <c r="L98">
        <f t="shared" si="108"/>
        <v>0.13200000000000001</v>
      </c>
      <c r="M98">
        <v>0.4</v>
      </c>
      <c r="N98" s="1">
        <f t="shared" si="109"/>
        <v>31.815103861051682</v>
      </c>
      <c r="O98" s="1">
        <f t="shared" si="110"/>
        <v>18.738770192974965</v>
      </c>
      <c r="P98" s="1">
        <f t="shared" si="111"/>
        <v>25.276937027013325</v>
      </c>
      <c r="Q98">
        <v>15</v>
      </c>
      <c r="S98">
        <f t="shared" ref="S98:S127" si="112">F98</f>
        <v>1</v>
      </c>
      <c r="T98" s="1">
        <f t="shared" ref="T98:T127" si="113">MIN(1, P98/$S$135)</f>
        <v>0.71094243082993758</v>
      </c>
      <c r="U98" s="1">
        <f t="shared" ref="U98:U127" si="114">1 - POWER(2.718281828, -$S$136 * MIN(1, P98/$S$135))</f>
        <v>0.67938295976267871</v>
      </c>
      <c r="V98" s="1">
        <f t="shared" ref="V98:V127" si="115">1 + MIN($S$138, $S$137 * MAX(0, P98/$S$135 - 1))</f>
        <v>1</v>
      </c>
      <c r="W98" s="1">
        <f t="shared" ref="W98:W127" si="116">U98*V98</f>
        <v>0.67938295976267871</v>
      </c>
      <c r="X98" s="1">
        <f t="shared" ref="X98:X127" si="117">W98/$W$131</f>
        <v>0.75959156425702612</v>
      </c>
      <c r="Y98">
        <v>0.95</v>
      </c>
      <c r="Z98" s="1">
        <f t="shared" ref="Z98:Z127" si="118" xml:space="preserve"> (1 - POWER(Y98, Q98)) / (1 - Y98)</f>
        <v>10.734175396804924</v>
      </c>
      <c r="AA98" s="1">
        <f t="shared" ref="AA98:AA127" si="119">Z98/$Z$131</f>
        <v>0.19238254470776356</v>
      </c>
      <c r="AB98" s="1">
        <f t="shared" ref="AB98:AB126" si="120">POWER(PRODUCT(POWER(S98,$S$129),POWER(X98,$X$129),POWER(AA98,$AA$129)),1/SUM($S$129,$X$129,$AA$129))</f>
        <v>0.48284895879823514</v>
      </c>
      <c r="AD98" s="1">
        <v>15</v>
      </c>
      <c r="AE98" s="1">
        <v>0.5</v>
      </c>
      <c r="AF98" s="1">
        <f t="shared" si="106"/>
        <v>7.5</v>
      </c>
      <c r="AG98" s="1">
        <f t="shared" si="98"/>
        <v>0.14705882352941177</v>
      </c>
      <c r="AH98" s="1">
        <v>0.72</v>
      </c>
      <c r="AI98" s="1">
        <v>0.8</v>
      </c>
      <c r="AJ98" s="1">
        <v>1.5</v>
      </c>
      <c r="AK98" s="1"/>
      <c r="AL98" s="1"/>
      <c r="AN98" s="1">
        <f t="shared" ref="AN98:AN127" si="121">MIN(1, AF98/Q98)</f>
        <v>0.5</v>
      </c>
      <c r="AO98" s="1">
        <f t="shared" ref="AO98:AO127" si="122">MIN(1,
   1 - POWER(
         1 - IFERROR(VLOOKUP(D98, $BR$3:$BS$7, 2, FALSE), 0.92),
         POWER(
            MAX(0, MIN(1, IFERROR(AF98 / Q98, 0))),
            IFERROR(
               INDEX($BT$3:$CE$7,
                      MATCH(D98, $BR$3:$BR$7, 0),
                      MATCH(Q98,  $BT$2:$CE$2, 1)
               ),
               1
            )
         )
      )
)</f>
        <v>0.7991853982298075</v>
      </c>
      <c r="AP98" s="1">
        <f t="shared" ref="AP98:AP127" si="123">AO98</f>
        <v>0.7991853982298075</v>
      </c>
      <c r="AQ98" s="1">
        <f t="shared" ref="AQ98:AQ127" si="124">AH98</f>
        <v>0.72</v>
      </c>
      <c r="AR98" s="1">
        <f t="shared" ref="AR98:AR127" si="125">1/(1+$AR$135*((AJ98-1)/(1+AJ98)))</f>
        <v>0.90909090909090906</v>
      </c>
      <c r="AS98" s="1">
        <f t="shared" ref="AS98:AS127" si="126">POWER( POWER(AQ98, $AQ$129) * POWER(AR98, $AR$129), 1/($AQ$129+$AR$129) )</f>
        <v>0.83784007306318942</v>
      </c>
      <c r="AT98" s="1">
        <f t="shared" ref="AT98:AT127" si="127">POWER( POWER(AP98, $AP$129) * POWER(AS98, $AS$129), 1/($AP$129+$AS$129) )</f>
        <v>0.81250734598792429</v>
      </c>
      <c r="AU98" s="11">
        <f t="shared" ref="AU98:AU127" si="128">AB98*AT98</f>
        <v>0.39231832602618666</v>
      </c>
      <c r="AW98" s="1">
        <v>46</v>
      </c>
      <c r="AX98" s="12">
        <v>15</v>
      </c>
      <c r="AZ98" s="11">
        <f t="shared" ref="AZ98:AZ127" si="129">AW98/$AW$131</f>
        <v>0.70769230769230773</v>
      </c>
      <c r="BA98" s="11">
        <f t="shared" ref="BA98:BA127" si="130">AZ98</f>
        <v>0.70769230769230773</v>
      </c>
      <c r="BB98" s="11">
        <f t="shared" ref="BB98:BB127" si="131">(AX98 - $BB$135) / ($BB$136 - $BB$135)</f>
        <v>3.3742331288343558E-2</v>
      </c>
      <c r="BC98" s="11">
        <f t="shared" ref="BC98:BC127" si="132">MAX(0, MIN(1, BB98))</f>
        <v>3.3742331288343558E-2</v>
      </c>
      <c r="BD98" s="11">
        <f t="shared" ref="BD98:BD127" si="133" xml:space="preserve"> 1 - POWER(BC98, $BD$135)</f>
        <v>0.74220764493282787</v>
      </c>
      <c r="BF98" s="11">
        <f t="shared" ref="BF98:BF127" si="134">AU98
 * (1 - $BF$135 * POWER(1 - BA98, $BF$136))
 * (1 - $BF$137 * POWER(1 - BD98, $BF$138))</f>
        <v>0.33988305323646156</v>
      </c>
      <c r="BG98" s="11">
        <f t="shared" ref="BG98:BG127" si="135">BF98/$BF$131</f>
        <v>0.46615929610340606</v>
      </c>
      <c r="BI98" s="11">
        <v>0.46615929610340606</v>
      </c>
      <c r="BJ98" s="11">
        <v>0.93281158798782171</v>
      </c>
      <c r="BK98" s="11">
        <v>0.1</v>
      </c>
      <c r="BM98" s="11">
        <f t="shared" si="100"/>
        <v>0.38466877165565549</v>
      </c>
      <c r="BN98" s="11">
        <f t="shared" si="99"/>
        <v>0.54799707381520102</v>
      </c>
      <c r="BP98" s="11">
        <f t="shared" si="66"/>
        <v>0.61836440225427658</v>
      </c>
      <c r="BQ98" s="11">
        <f t="shared" si="67"/>
        <v>0.87087596811213064</v>
      </c>
    </row>
    <row r="99" spans="1:69" x14ac:dyDescent="0.35">
      <c r="A99" t="s">
        <v>121</v>
      </c>
      <c r="B99" t="s">
        <v>124</v>
      </c>
      <c r="C99">
        <v>10</v>
      </c>
      <c r="D99" t="s">
        <v>53</v>
      </c>
      <c r="E99" t="s">
        <v>94</v>
      </c>
      <c r="F99">
        <v>1</v>
      </c>
      <c r="G99">
        <v>0.38</v>
      </c>
      <c r="H99">
        <v>0.6</v>
      </c>
      <c r="I99">
        <f t="shared" si="107"/>
        <v>0.22799999999999998</v>
      </c>
      <c r="J99">
        <v>0.22</v>
      </c>
      <c r="K99">
        <v>0.6</v>
      </c>
      <c r="L99">
        <f t="shared" si="108"/>
        <v>0.13200000000000001</v>
      </c>
      <c r="M99">
        <v>0.4</v>
      </c>
      <c r="N99" s="1">
        <f t="shared" si="109"/>
        <v>31.815103861051682</v>
      </c>
      <c r="O99" s="1">
        <f t="shared" si="110"/>
        <v>18.738770192974965</v>
      </c>
      <c r="P99" s="1">
        <f t="shared" si="111"/>
        <v>25.276937027013325</v>
      </c>
      <c r="Q99">
        <v>10</v>
      </c>
      <c r="S99">
        <f t="shared" si="112"/>
        <v>1</v>
      </c>
      <c r="T99" s="1">
        <f t="shared" si="113"/>
        <v>0.71094243082993758</v>
      </c>
      <c r="U99" s="1">
        <f t="shared" si="114"/>
        <v>0.67938295976267871</v>
      </c>
      <c r="V99" s="1">
        <f t="shared" si="115"/>
        <v>1</v>
      </c>
      <c r="W99" s="1">
        <f t="shared" si="116"/>
        <v>0.67938295976267871</v>
      </c>
      <c r="X99" s="1">
        <f t="shared" si="117"/>
        <v>0.75959156425702612</v>
      </c>
      <c r="Y99">
        <v>0.9</v>
      </c>
      <c r="Z99" s="1">
        <f t="shared" si="118"/>
        <v>6.5132155989999996</v>
      </c>
      <c r="AA99" s="1">
        <f t="shared" si="119"/>
        <v>0.11673267343282748</v>
      </c>
      <c r="AB99" s="1">
        <f t="shared" si="120"/>
        <v>0.3953866540884971</v>
      </c>
      <c r="AD99" s="1">
        <v>10</v>
      </c>
      <c r="AE99" s="1">
        <v>0.55000000000000004</v>
      </c>
      <c r="AF99" s="1">
        <f t="shared" si="106"/>
        <v>5.5</v>
      </c>
      <c r="AG99" s="1">
        <f t="shared" si="98"/>
        <v>0.10784313725490197</v>
      </c>
      <c r="AH99" s="1">
        <v>0.72</v>
      </c>
      <c r="AI99" s="1">
        <v>0.8</v>
      </c>
      <c r="AJ99" s="1">
        <v>1.5</v>
      </c>
      <c r="AK99" s="1"/>
      <c r="AL99" s="1"/>
      <c r="AN99" s="1">
        <f t="shared" si="121"/>
        <v>0.55000000000000004</v>
      </c>
      <c r="AO99" s="1">
        <f t="shared" si="122"/>
        <v>0.81688623207054278</v>
      </c>
      <c r="AP99" s="1">
        <f t="shared" si="123"/>
        <v>0.81688623207054278</v>
      </c>
      <c r="AQ99" s="1">
        <f t="shared" si="124"/>
        <v>0.72</v>
      </c>
      <c r="AR99" s="1">
        <f t="shared" si="125"/>
        <v>0.90909090909090906</v>
      </c>
      <c r="AS99" s="1">
        <f t="shared" si="126"/>
        <v>0.83784007306318942</v>
      </c>
      <c r="AT99" s="1">
        <f t="shared" si="127"/>
        <v>0.82415978574542026</v>
      </c>
      <c r="AU99" s="11">
        <f t="shared" si="128"/>
        <v>0.32586178012017436</v>
      </c>
      <c r="AW99" s="1">
        <v>46</v>
      </c>
      <c r="AX99" s="12">
        <v>15</v>
      </c>
      <c r="AZ99" s="11">
        <f t="shared" si="129"/>
        <v>0.70769230769230773</v>
      </c>
      <c r="BA99" s="11">
        <f t="shared" si="130"/>
        <v>0.70769230769230773</v>
      </c>
      <c r="BB99" s="11">
        <f t="shared" si="131"/>
        <v>3.3742331288343558E-2</v>
      </c>
      <c r="BC99" s="11">
        <f t="shared" si="132"/>
        <v>3.3742331288343558E-2</v>
      </c>
      <c r="BD99" s="11">
        <f t="shared" si="133"/>
        <v>0.74220764493282787</v>
      </c>
      <c r="BF99" s="11">
        <f t="shared" si="134"/>
        <v>0.28230875137074435</v>
      </c>
      <c r="BG99" s="11">
        <f t="shared" si="135"/>
        <v>0.38719449990129706</v>
      </c>
      <c r="BI99" s="11">
        <v>0.38719449990129706</v>
      </c>
      <c r="BJ99" s="11">
        <v>0.93281158798782171</v>
      </c>
      <c r="BK99" s="11">
        <v>0.1</v>
      </c>
      <c r="BM99" s="11">
        <f t="shared" si="100"/>
        <v>0.34123813374449558</v>
      </c>
      <c r="BN99" s="11">
        <f t="shared" si="99"/>
        <v>0.53220411457477923</v>
      </c>
      <c r="BP99" s="11">
        <f t="shared" si="66"/>
        <v>0.5485485959545725</v>
      </c>
      <c r="BQ99" s="11">
        <f t="shared" si="67"/>
        <v>0.84577782557625303</v>
      </c>
    </row>
    <row r="100" spans="1:69" x14ac:dyDescent="0.35">
      <c r="A100" t="s">
        <v>121</v>
      </c>
      <c r="B100" t="s">
        <v>124</v>
      </c>
      <c r="C100">
        <v>5</v>
      </c>
      <c r="D100" t="s">
        <v>53</v>
      </c>
      <c r="E100" t="s">
        <v>123</v>
      </c>
      <c r="F100">
        <v>1</v>
      </c>
      <c r="G100">
        <v>0.38</v>
      </c>
      <c r="H100">
        <v>0.6</v>
      </c>
      <c r="I100">
        <f t="shared" si="107"/>
        <v>0.22799999999999998</v>
      </c>
      <c r="J100">
        <v>0.22</v>
      </c>
      <c r="K100">
        <v>0.6</v>
      </c>
      <c r="L100">
        <f t="shared" si="108"/>
        <v>0.13200000000000001</v>
      </c>
      <c r="M100">
        <v>0.4</v>
      </c>
      <c r="N100" s="1">
        <f t="shared" si="109"/>
        <v>31.815103861051682</v>
      </c>
      <c r="O100" s="1">
        <f t="shared" si="110"/>
        <v>18.738770192974965</v>
      </c>
      <c r="P100" s="1">
        <f t="shared" si="111"/>
        <v>25.276937027013325</v>
      </c>
      <c r="Q100">
        <v>5</v>
      </c>
      <c r="S100">
        <f t="shared" si="112"/>
        <v>1</v>
      </c>
      <c r="T100" s="1">
        <f t="shared" si="113"/>
        <v>0.71094243082993758</v>
      </c>
      <c r="U100" s="1">
        <f t="shared" si="114"/>
        <v>0.67938295976267871</v>
      </c>
      <c r="V100" s="1">
        <f t="shared" si="115"/>
        <v>1</v>
      </c>
      <c r="W100" s="1">
        <f t="shared" si="116"/>
        <v>0.67938295976267871</v>
      </c>
      <c r="X100" s="1">
        <f t="shared" si="117"/>
        <v>0.75959156425702612</v>
      </c>
      <c r="Y100">
        <v>0.85</v>
      </c>
      <c r="Z100" s="1">
        <f t="shared" si="118"/>
        <v>3.7086312500000003</v>
      </c>
      <c r="AA100" s="1">
        <f t="shared" si="119"/>
        <v>6.646769694764848E-2</v>
      </c>
      <c r="AB100" s="1">
        <f t="shared" si="120"/>
        <v>0.31563800204169834</v>
      </c>
      <c r="AD100" s="1">
        <v>5</v>
      </c>
      <c r="AE100" s="1">
        <v>0.6</v>
      </c>
      <c r="AF100" s="1">
        <f t="shared" si="106"/>
        <v>3</v>
      </c>
      <c r="AG100" s="1">
        <f t="shared" si="98"/>
        <v>5.8823529411764705E-2</v>
      </c>
      <c r="AH100" s="1">
        <v>0.72</v>
      </c>
      <c r="AI100" s="1">
        <v>0.8</v>
      </c>
      <c r="AJ100" s="1">
        <v>1.5</v>
      </c>
      <c r="AK100" s="1"/>
      <c r="AL100" s="1"/>
      <c r="AN100" s="1">
        <f t="shared" si="121"/>
        <v>0.6</v>
      </c>
      <c r="AO100" s="1">
        <f t="shared" si="122"/>
        <v>0.83427729913300053</v>
      </c>
      <c r="AP100" s="1">
        <f t="shared" si="123"/>
        <v>0.83427729913300053</v>
      </c>
      <c r="AQ100" s="1">
        <f t="shared" si="124"/>
        <v>0.72</v>
      </c>
      <c r="AR100" s="1">
        <f t="shared" si="125"/>
        <v>0.90909090909090906</v>
      </c>
      <c r="AS100" s="1">
        <f t="shared" si="126"/>
        <v>0.83784007306318942</v>
      </c>
      <c r="AT100" s="1">
        <f t="shared" si="127"/>
        <v>0.83552254337914722</v>
      </c>
      <c r="AU100" s="11">
        <f t="shared" si="128"/>
        <v>0.26372266625299223</v>
      </c>
      <c r="AW100" s="1">
        <v>46</v>
      </c>
      <c r="AX100" s="12">
        <v>15</v>
      </c>
      <c r="AZ100" s="11">
        <f t="shared" si="129"/>
        <v>0.70769230769230773</v>
      </c>
      <c r="BA100" s="11">
        <f t="shared" si="130"/>
        <v>0.70769230769230773</v>
      </c>
      <c r="BB100" s="11">
        <f t="shared" si="131"/>
        <v>3.3742331288343558E-2</v>
      </c>
      <c r="BC100" s="11">
        <f t="shared" si="132"/>
        <v>3.3742331288343558E-2</v>
      </c>
      <c r="BD100" s="11">
        <f t="shared" si="133"/>
        <v>0.74220764493282787</v>
      </c>
      <c r="BF100" s="11">
        <f t="shared" si="134"/>
        <v>0.22847483552869857</v>
      </c>
      <c r="BG100" s="11">
        <f t="shared" si="135"/>
        <v>0.31335974975281294</v>
      </c>
      <c r="BI100" s="11">
        <v>0.31335974975281294</v>
      </c>
      <c r="BJ100" s="11">
        <v>0.93281158798782171</v>
      </c>
      <c r="BK100" s="11">
        <v>0.1</v>
      </c>
      <c r="BM100" s="11">
        <f t="shared" si="100"/>
        <v>0.3006290211628293</v>
      </c>
      <c r="BN100" s="11">
        <f t="shared" si="99"/>
        <v>0.51743716454508237</v>
      </c>
      <c r="BP100" s="11">
        <f t="shared" si="66"/>
        <v>0.48326846021712422</v>
      </c>
      <c r="BQ100" s="11">
        <f t="shared" si="67"/>
        <v>0.82231021504022939</v>
      </c>
    </row>
    <row r="101" spans="1:69" x14ac:dyDescent="0.35">
      <c r="A101" t="s">
        <v>121</v>
      </c>
      <c r="B101" t="s">
        <v>125</v>
      </c>
      <c r="D101" t="s">
        <v>52</v>
      </c>
      <c r="E101" t="s">
        <v>52</v>
      </c>
      <c r="F101">
        <v>0.5</v>
      </c>
      <c r="G101">
        <v>0.38</v>
      </c>
      <c r="H101">
        <v>0.35</v>
      </c>
      <c r="I101">
        <f t="shared" si="107"/>
        <v>0.13299999999999998</v>
      </c>
      <c r="J101">
        <v>0.22</v>
      </c>
      <c r="K101">
        <v>0.25</v>
      </c>
      <c r="L101">
        <f t="shared" si="108"/>
        <v>5.5E-2</v>
      </c>
      <c r="M101">
        <v>0.4</v>
      </c>
      <c r="N101" s="1">
        <f t="shared" si="109"/>
        <v>18.878185242020226</v>
      </c>
      <c r="O101" s="1">
        <f t="shared" si="110"/>
        <v>7.8657925444610752</v>
      </c>
      <c r="P101" s="1">
        <f t="shared" si="111"/>
        <v>13.371988893240651</v>
      </c>
      <c r="Q101">
        <v>3</v>
      </c>
      <c r="S101">
        <f t="shared" si="112"/>
        <v>0.5</v>
      </c>
      <c r="T101" s="1">
        <f t="shared" si="113"/>
        <v>0.37610230537947142</v>
      </c>
      <c r="U101" s="1">
        <f t="shared" si="114"/>
        <v>0.452155443615888</v>
      </c>
      <c r="V101" s="1">
        <f t="shared" si="115"/>
        <v>1</v>
      </c>
      <c r="W101" s="1">
        <f t="shared" si="116"/>
        <v>0.452155443615888</v>
      </c>
      <c r="X101" s="1">
        <f t="shared" si="117"/>
        <v>0.50553734939642392</v>
      </c>
      <c r="Y101">
        <v>0.8</v>
      </c>
      <c r="Z101" s="1">
        <f t="shared" si="118"/>
        <v>2.44</v>
      </c>
      <c r="AA101" s="1">
        <f t="shared" si="119"/>
        <v>4.3730737735724542E-2</v>
      </c>
      <c r="AB101" s="1">
        <f t="shared" si="120"/>
        <v>0.1891875420602416</v>
      </c>
      <c r="AD101" s="1"/>
      <c r="AE101" s="1"/>
      <c r="AF101" s="10">
        <v>1.74</v>
      </c>
      <c r="AG101" s="1">
        <f t="shared" si="98"/>
        <v>3.411764705882353E-2</v>
      </c>
      <c r="AH101" s="1">
        <v>1</v>
      </c>
      <c r="AI101" s="10">
        <v>0.51</v>
      </c>
      <c r="AJ101" s="1">
        <v>1</v>
      </c>
      <c r="AK101" s="1"/>
      <c r="AL101" s="1"/>
      <c r="AN101" s="1">
        <f t="shared" si="121"/>
        <v>0.57999999999999996</v>
      </c>
      <c r="AO101" s="1">
        <f t="shared" si="122"/>
        <v>0.7369732008104618</v>
      </c>
      <c r="AP101" s="1">
        <f t="shared" si="123"/>
        <v>0.7369732008104618</v>
      </c>
      <c r="AQ101" s="1">
        <f t="shared" si="124"/>
        <v>1</v>
      </c>
      <c r="AR101" s="1">
        <f t="shared" si="125"/>
        <v>1</v>
      </c>
      <c r="AS101" s="1">
        <f t="shared" si="126"/>
        <v>1</v>
      </c>
      <c r="AT101" s="1">
        <f t="shared" si="127"/>
        <v>0.82005617293248223</v>
      </c>
      <c r="AU101" s="11">
        <f t="shared" si="128"/>
        <v>0.15514441170842475</v>
      </c>
      <c r="AW101" s="1">
        <v>46</v>
      </c>
      <c r="AX101" s="12">
        <v>90</v>
      </c>
      <c r="AZ101" s="11">
        <f t="shared" si="129"/>
        <v>0.70769230769230773</v>
      </c>
      <c r="BA101" s="11">
        <f t="shared" si="130"/>
        <v>0.70769230769230773</v>
      </c>
      <c r="BB101" s="11">
        <f t="shared" si="131"/>
        <v>0.26380368098159507</v>
      </c>
      <c r="BC101" s="11">
        <f t="shared" si="132"/>
        <v>0.26380368098159507</v>
      </c>
      <c r="BD101" s="11">
        <f t="shared" si="133"/>
        <v>0.41316995585249616</v>
      </c>
      <c r="BF101" s="11">
        <f t="shared" si="134"/>
        <v>0.12266339749794014</v>
      </c>
      <c r="BG101" s="11">
        <f t="shared" si="135"/>
        <v>0.16823634626911113</v>
      </c>
      <c r="BI101" s="11">
        <v>0.16823634626911113</v>
      </c>
      <c r="BJ101" s="11">
        <v>0.93281158798782171</v>
      </c>
      <c r="BK101" s="11">
        <v>0.2</v>
      </c>
      <c r="BM101" s="11">
        <f t="shared" si="100"/>
        <v>0.25581114924679332</v>
      </c>
      <c r="BN101" s="11">
        <f t="shared" si="99"/>
        <v>0.52341248384834194</v>
      </c>
      <c r="BP101" s="11">
        <f t="shared" si="66"/>
        <v>0.41122264152904808</v>
      </c>
      <c r="BQ101" s="11">
        <f t="shared" si="67"/>
        <v>0.83180618177373089</v>
      </c>
    </row>
    <row r="102" spans="1:69" x14ac:dyDescent="0.35">
      <c r="A102" t="s">
        <v>121</v>
      </c>
      <c r="B102" t="s">
        <v>95</v>
      </c>
      <c r="D102" t="s">
        <v>52</v>
      </c>
      <c r="E102" t="s">
        <v>52</v>
      </c>
      <c r="F102">
        <v>0.5</v>
      </c>
      <c r="G102">
        <v>0.38</v>
      </c>
      <c r="H102">
        <v>0.8</v>
      </c>
      <c r="I102">
        <f t="shared" si="107"/>
        <v>0.30400000000000005</v>
      </c>
      <c r="J102">
        <v>0.22</v>
      </c>
      <c r="K102">
        <v>0.25</v>
      </c>
      <c r="L102">
        <f t="shared" si="108"/>
        <v>5.5E-2</v>
      </c>
      <c r="M102">
        <v>0.4</v>
      </c>
      <c r="N102" s="1">
        <f t="shared" si="109"/>
        <v>41.613582025422467</v>
      </c>
      <c r="O102" s="1">
        <f t="shared" si="110"/>
        <v>7.8657925444610752</v>
      </c>
      <c r="P102" s="1">
        <f t="shared" si="111"/>
        <v>24.73968728494177</v>
      </c>
      <c r="Q102">
        <v>3</v>
      </c>
      <c r="S102">
        <f t="shared" si="112"/>
        <v>0.5</v>
      </c>
      <c r="T102" s="1">
        <f t="shared" si="113"/>
        <v>0.69583167444426797</v>
      </c>
      <c r="U102" s="1">
        <f t="shared" si="114"/>
        <v>0.67153686806973045</v>
      </c>
      <c r="V102" s="1">
        <f t="shared" si="115"/>
        <v>1</v>
      </c>
      <c r="W102" s="1">
        <f t="shared" si="116"/>
        <v>0.67153686806973045</v>
      </c>
      <c r="X102" s="1">
        <f t="shared" si="117"/>
        <v>0.75081915544590072</v>
      </c>
      <c r="Y102">
        <v>0.8</v>
      </c>
      <c r="Z102" s="1">
        <f t="shared" si="118"/>
        <v>2.44</v>
      </c>
      <c r="AA102" s="1">
        <f t="shared" si="119"/>
        <v>4.3730737735724542E-2</v>
      </c>
      <c r="AB102" s="1">
        <f t="shared" si="120"/>
        <v>0.20885172138149272</v>
      </c>
      <c r="AD102" s="1"/>
      <c r="AE102" s="1"/>
      <c r="AF102" s="10">
        <v>1.72</v>
      </c>
      <c r="AG102" s="1">
        <f t="shared" si="98"/>
        <v>3.3725490196078428E-2</v>
      </c>
      <c r="AH102" s="1">
        <v>1</v>
      </c>
      <c r="AI102" s="1">
        <v>0.69</v>
      </c>
      <c r="AJ102" s="1">
        <v>1</v>
      </c>
      <c r="AK102" s="1"/>
      <c r="AL102" s="1"/>
      <c r="AN102" s="1">
        <f t="shared" si="121"/>
        <v>0.57333333333333336</v>
      </c>
      <c r="AO102" s="1">
        <f t="shared" si="122"/>
        <v>0.73290444124410159</v>
      </c>
      <c r="AP102" s="1">
        <f t="shared" si="123"/>
        <v>0.73290444124410159</v>
      </c>
      <c r="AQ102" s="1">
        <f t="shared" si="124"/>
        <v>1</v>
      </c>
      <c r="AR102" s="1">
        <f t="shared" si="125"/>
        <v>1</v>
      </c>
      <c r="AS102" s="1">
        <f t="shared" si="126"/>
        <v>1</v>
      </c>
      <c r="AT102" s="1">
        <f t="shared" si="127"/>
        <v>0.81711047825658067</v>
      </c>
      <c r="AU102" s="11">
        <f t="shared" si="128"/>
        <v>0.17065492994274165</v>
      </c>
      <c r="AW102" s="1">
        <v>46</v>
      </c>
      <c r="AX102" s="12">
        <v>90</v>
      </c>
      <c r="AZ102" s="11">
        <f t="shared" si="129"/>
        <v>0.70769230769230773</v>
      </c>
      <c r="BA102" s="11">
        <f t="shared" si="130"/>
        <v>0.70769230769230773</v>
      </c>
      <c r="BB102" s="11">
        <f t="shared" si="131"/>
        <v>0.26380368098159507</v>
      </c>
      <c r="BC102" s="11">
        <f t="shared" si="132"/>
        <v>0.26380368098159507</v>
      </c>
      <c r="BD102" s="11">
        <f t="shared" si="133"/>
        <v>0.41316995585249616</v>
      </c>
      <c r="BF102" s="11">
        <f t="shared" si="134"/>
        <v>0.13492663561669829</v>
      </c>
      <c r="BG102" s="11">
        <f t="shared" si="135"/>
        <v>0.18505572692064251</v>
      </c>
      <c r="BI102" s="11">
        <v>0.18505572692064251</v>
      </c>
      <c r="BJ102" s="11">
        <v>0.93281158798782171</v>
      </c>
      <c r="BK102" s="11">
        <v>0.2</v>
      </c>
      <c r="BM102" s="11">
        <f t="shared" si="100"/>
        <v>0.26506180860513556</v>
      </c>
      <c r="BN102" s="11">
        <f t="shared" si="99"/>
        <v>0.52677635997864825</v>
      </c>
      <c r="BP102" s="11">
        <f t="shared" si="66"/>
        <v>0.42609330134361673</v>
      </c>
      <c r="BQ102" s="11">
        <f t="shared" si="67"/>
        <v>0.8371520476944998</v>
      </c>
    </row>
    <row r="103" spans="1:69" x14ac:dyDescent="0.35">
      <c r="A103" t="s">
        <v>121</v>
      </c>
      <c r="B103" t="s">
        <v>126</v>
      </c>
      <c r="D103" t="s">
        <v>52</v>
      </c>
      <c r="E103" t="s">
        <v>52</v>
      </c>
      <c r="F103">
        <v>0.5</v>
      </c>
      <c r="G103">
        <v>0.38</v>
      </c>
      <c r="H103">
        <v>0.15</v>
      </c>
      <c r="I103">
        <f t="shared" si="107"/>
        <v>5.6999999999999995E-2</v>
      </c>
      <c r="J103">
        <v>0.22</v>
      </c>
      <c r="K103">
        <v>0.1</v>
      </c>
      <c r="L103">
        <f t="shared" si="108"/>
        <v>2.2000000000000002E-2</v>
      </c>
      <c r="M103">
        <v>0.4</v>
      </c>
      <c r="N103" s="1">
        <f t="shared" si="109"/>
        <v>8.1508743953729663</v>
      </c>
      <c r="O103" s="1">
        <f t="shared" si="110"/>
        <v>3.150473851366109</v>
      </c>
      <c r="P103" s="1">
        <f t="shared" si="111"/>
        <v>5.6506741233695372</v>
      </c>
      <c r="Q103">
        <v>3</v>
      </c>
      <c r="S103">
        <f t="shared" si="112"/>
        <v>0.5</v>
      </c>
      <c r="T103" s="1">
        <f t="shared" si="113"/>
        <v>0.15893159811265478</v>
      </c>
      <c r="U103" s="1">
        <f t="shared" si="114"/>
        <v>0.22453354784774604</v>
      </c>
      <c r="V103" s="1">
        <f t="shared" si="115"/>
        <v>1</v>
      </c>
      <c r="W103" s="1">
        <f t="shared" si="116"/>
        <v>0.22453354784774604</v>
      </c>
      <c r="X103" s="1">
        <f t="shared" si="117"/>
        <v>0.2510421940777362</v>
      </c>
      <c r="Y103">
        <v>0.8</v>
      </c>
      <c r="Z103" s="1">
        <f t="shared" si="118"/>
        <v>2.44</v>
      </c>
      <c r="AA103" s="1">
        <f t="shared" si="119"/>
        <v>4.3730737735724542E-2</v>
      </c>
      <c r="AB103" s="1">
        <f t="shared" si="120"/>
        <v>0.15881477497397481</v>
      </c>
      <c r="AD103" s="1"/>
      <c r="AE103" s="1"/>
      <c r="AF103" s="10">
        <v>0.54</v>
      </c>
      <c r="AG103" s="1">
        <f t="shared" si="98"/>
        <v>1.0588235294117648E-2</v>
      </c>
      <c r="AH103" s="1">
        <v>1</v>
      </c>
      <c r="AI103" s="1">
        <v>0.23</v>
      </c>
      <c r="AJ103" s="1">
        <v>1.5</v>
      </c>
      <c r="AK103" s="1"/>
      <c r="AL103" s="1"/>
      <c r="AN103" s="1">
        <f t="shared" si="121"/>
        <v>0.18000000000000002</v>
      </c>
      <c r="AO103" s="1">
        <f t="shared" si="122"/>
        <v>0.33930655199240412</v>
      </c>
      <c r="AP103" s="1">
        <f t="shared" si="123"/>
        <v>0.33930655199240412</v>
      </c>
      <c r="AQ103" s="1">
        <f t="shared" si="124"/>
        <v>1</v>
      </c>
      <c r="AR103" s="1">
        <f t="shared" si="125"/>
        <v>0.90909090909090906</v>
      </c>
      <c r="AS103" s="1">
        <f t="shared" si="126"/>
        <v>0.93992836236445954</v>
      </c>
      <c r="AT103" s="1">
        <f t="shared" si="127"/>
        <v>0.48469453607504748</v>
      </c>
      <c r="AU103" s="11">
        <f t="shared" si="128"/>
        <v>7.6976653677873777E-2</v>
      </c>
      <c r="AW103" s="1">
        <v>46</v>
      </c>
      <c r="AX103" s="12">
        <v>90</v>
      </c>
      <c r="AZ103" s="11">
        <f t="shared" si="129"/>
        <v>0.70769230769230773</v>
      </c>
      <c r="BA103" s="11">
        <f t="shared" si="130"/>
        <v>0.70769230769230773</v>
      </c>
      <c r="BB103" s="11">
        <f t="shared" si="131"/>
        <v>0.26380368098159507</v>
      </c>
      <c r="BC103" s="11">
        <f t="shared" si="132"/>
        <v>0.26380368098159507</v>
      </c>
      <c r="BD103" s="11">
        <f t="shared" si="133"/>
        <v>0.41316995585249616</v>
      </c>
      <c r="BF103" s="11">
        <f t="shared" si="134"/>
        <v>6.086083130016838E-2</v>
      </c>
      <c r="BG103" s="11">
        <f t="shared" si="135"/>
        <v>8.3472365006138236E-2</v>
      </c>
      <c r="BI103" s="11">
        <v>8.3472365006138236E-2</v>
      </c>
      <c r="BJ103" s="11">
        <v>0.93281158798782171</v>
      </c>
      <c r="BK103" s="11">
        <v>0.2</v>
      </c>
      <c r="BM103" s="11">
        <f t="shared" si="100"/>
        <v>0.20919095955215822</v>
      </c>
      <c r="BN103" s="11">
        <f t="shared" si="99"/>
        <v>0.50645968759574744</v>
      </c>
      <c r="BP103" s="11">
        <f t="shared" si="66"/>
        <v>0.3362795531950924</v>
      </c>
      <c r="BQ103" s="11">
        <f t="shared" si="67"/>
        <v>0.80486482833565631</v>
      </c>
    </row>
    <row r="104" spans="1:69" x14ac:dyDescent="0.35">
      <c r="A104" t="s">
        <v>127</v>
      </c>
      <c r="B104" t="s">
        <v>128</v>
      </c>
      <c r="C104">
        <v>60</v>
      </c>
      <c r="D104" t="s">
        <v>53</v>
      </c>
      <c r="E104" t="s">
        <v>108</v>
      </c>
      <c r="F104">
        <v>1</v>
      </c>
      <c r="G104">
        <v>1.32</v>
      </c>
      <c r="H104">
        <v>1</v>
      </c>
      <c r="I104">
        <f t="shared" si="107"/>
        <v>1.32</v>
      </c>
      <c r="J104">
        <v>0.75</v>
      </c>
      <c r="K104">
        <v>1</v>
      </c>
      <c r="L104">
        <f t="shared" si="108"/>
        <v>0.75</v>
      </c>
      <c r="M104">
        <v>3</v>
      </c>
      <c r="N104" s="1">
        <f t="shared" si="109"/>
        <v>24.81483705480149</v>
      </c>
      <c r="O104" s="1">
        <f t="shared" si="110"/>
        <v>14.250032697803595</v>
      </c>
      <c r="P104" s="1">
        <f t="shared" si="111"/>
        <v>19.532434876302542</v>
      </c>
      <c r="Q104">
        <v>60</v>
      </c>
      <c r="S104">
        <f t="shared" si="112"/>
        <v>1</v>
      </c>
      <c r="T104" s="1">
        <f t="shared" si="113"/>
        <v>0.54937181337064767</v>
      </c>
      <c r="U104" s="1">
        <f t="shared" si="114"/>
        <v>0.58479998094819008</v>
      </c>
      <c r="V104" s="1">
        <f t="shared" si="115"/>
        <v>1</v>
      </c>
      <c r="W104" s="1">
        <f t="shared" si="116"/>
        <v>0.58479998094819008</v>
      </c>
      <c r="X104" s="1">
        <f t="shared" si="117"/>
        <v>0.65384202815608661</v>
      </c>
      <c r="Y104">
        <v>0.98</v>
      </c>
      <c r="Z104" s="1">
        <f t="shared" si="118"/>
        <v>35.122342865393968</v>
      </c>
      <c r="AA104" s="1">
        <f t="shared" si="119"/>
        <v>0.62947785430768022</v>
      </c>
      <c r="AB104" s="1">
        <f t="shared" si="120"/>
        <v>0.74724047970723984</v>
      </c>
      <c r="AD104" s="1">
        <v>60</v>
      </c>
      <c r="AE104" s="1">
        <v>0.7</v>
      </c>
      <c r="AF104" s="1">
        <f t="shared" ref="AF104:AF123" si="136">AD104*AE104</f>
        <v>42</v>
      </c>
      <c r="AG104" s="1">
        <f t="shared" si="98"/>
        <v>0.82352941176470584</v>
      </c>
      <c r="AH104" s="1">
        <v>0.34</v>
      </c>
      <c r="AI104" s="1">
        <v>0.45</v>
      </c>
      <c r="AJ104" s="1">
        <v>6</v>
      </c>
      <c r="AK104" s="1"/>
      <c r="AL104" s="1"/>
      <c r="AN104" s="1">
        <f t="shared" si="121"/>
        <v>0.7</v>
      </c>
      <c r="AO104" s="1">
        <f t="shared" si="122"/>
        <v>0.89816772466687844</v>
      </c>
      <c r="AP104" s="1">
        <f t="shared" si="123"/>
        <v>0.89816772466687844</v>
      </c>
      <c r="AQ104" s="1">
        <f t="shared" si="124"/>
        <v>0.34</v>
      </c>
      <c r="AR104" s="1">
        <f t="shared" si="125"/>
        <v>0.73684210526315785</v>
      </c>
      <c r="AS104" s="1">
        <f t="shared" si="126"/>
        <v>0.56209665848600399</v>
      </c>
      <c r="AT104" s="1">
        <f t="shared" si="127"/>
        <v>0.76228292252741126</v>
      </c>
      <c r="AU104" s="11">
        <f t="shared" si="128"/>
        <v>0.56960865670201954</v>
      </c>
      <c r="AW104" s="1">
        <v>63</v>
      </c>
      <c r="AX104" s="12">
        <v>48</v>
      </c>
      <c r="AZ104" s="11">
        <f t="shared" si="129"/>
        <v>0.96923076923076923</v>
      </c>
      <c r="BA104" s="11">
        <f t="shared" si="130"/>
        <v>0.96923076923076923</v>
      </c>
      <c r="BB104" s="11">
        <f t="shared" si="131"/>
        <v>0.13496932515337423</v>
      </c>
      <c r="BC104" s="11">
        <f t="shared" si="132"/>
        <v>0.13496932515337423</v>
      </c>
      <c r="BD104" s="11">
        <f t="shared" si="133"/>
        <v>0.55115744016567758</v>
      </c>
      <c r="BF104" s="11">
        <f t="shared" si="134"/>
        <v>0.49764422416951087</v>
      </c>
      <c r="BG104" s="11">
        <f t="shared" si="135"/>
        <v>0.68253323912384634</v>
      </c>
      <c r="BI104" s="11">
        <v>0.68253323912384634</v>
      </c>
      <c r="BJ104" s="11">
        <v>0.20410037425033112</v>
      </c>
      <c r="BK104" s="11">
        <v>0.62070858062030299</v>
      </c>
      <c r="BM104" s="11">
        <f t="shared" si="100"/>
        <v>0.61305132216025471</v>
      </c>
      <c r="BN104" s="11">
        <f t="shared" si="99"/>
        <v>0.44559981945452432</v>
      </c>
      <c r="BP104" s="11">
        <f t="shared" ref="BP104:BP127" si="137">BM104/$BM$131</f>
        <v>0.98549490447893595</v>
      </c>
      <c r="BQ104" s="11">
        <f t="shared" ref="BQ104:BQ127" si="138">BN104/$BN$131</f>
        <v>0.70814643490033347</v>
      </c>
    </row>
    <row r="105" spans="1:69" x14ac:dyDescent="0.35">
      <c r="A105" t="s">
        <v>127</v>
      </c>
      <c r="B105" t="s">
        <v>128</v>
      </c>
      <c r="C105">
        <v>45</v>
      </c>
      <c r="D105" t="s">
        <v>53</v>
      </c>
      <c r="E105" t="s">
        <v>109</v>
      </c>
      <c r="F105">
        <v>1</v>
      </c>
      <c r="G105">
        <v>1.32</v>
      </c>
      <c r="H105">
        <v>1</v>
      </c>
      <c r="I105">
        <f t="shared" si="107"/>
        <v>1.32</v>
      </c>
      <c r="J105">
        <v>0.75</v>
      </c>
      <c r="K105">
        <v>1</v>
      </c>
      <c r="L105">
        <f t="shared" si="108"/>
        <v>0.75</v>
      </c>
      <c r="M105">
        <v>3</v>
      </c>
      <c r="N105" s="1">
        <f t="shared" si="109"/>
        <v>24.81483705480149</v>
      </c>
      <c r="O105" s="1">
        <f t="shared" si="110"/>
        <v>14.250032697803595</v>
      </c>
      <c r="P105" s="1">
        <f t="shared" si="111"/>
        <v>19.532434876302542</v>
      </c>
      <c r="Q105">
        <v>45</v>
      </c>
      <c r="S105">
        <f t="shared" si="112"/>
        <v>1</v>
      </c>
      <c r="T105" s="1">
        <f t="shared" si="113"/>
        <v>0.54937181337064767</v>
      </c>
      <c r="U105" s="1">
        <f t="shared" si="114"/>
        <v>0.58479998094819008</v>
      </c>
      <c r="V105" s="1">
        <f t="shared" si="115"/>
        <v>1</v>
      </c>
      <c r="W105" s="1">
        <f t="shared" si="116"/>
        <v>0.58479998094819008</v>
      </c>
      <c r="X105" s="1">
        <f t="shared" si="117"/>
        <v>0.65384202815608661</v>
      </c>
      <c r="Y105">
        <v>0.98</v>
      </c>
      <c r="Z105" s="1">
        <f t="shared" si="118"/>
        <v>29.856106786328724</v>
      </c>
      <c r="AA105" s="1">
        <f t="shared" si="119"/>
        <v>0.5350940883945603</v>
      </c>
      <c r="AB105" s="1">
        <f t="shared" si="120"/>
        <v>0.70022928433423037</v>
      </c>
      <c r="AD105" s="1">
        <v>45</v>
      </c>
      <c r="AE105" s="1">
        <v>0.75</v>
      </c>
      <c r="AF105" s="1">
        <f t="shared" si="136"/>
        <v>33.75</v>
      </c>
      <c r="AG105" s="1">
        <f t="shared" si="98"/>
        <v>0.66176470588235292</v>
      </c>
      <c r="AH105" s="1">
        <v>0.34</v>
      </c>
      <c r="AI105" s="1">
        <v>0.45</v>
      </c>
      <c r="AJ105" s="1">
        <v>6</v>
      </c>
      <c r="AK105" s="1"/>
      <c r="AL105" s="1"/>
      <c r="AN105" s="1">
        <f t="shared" si="121"/>
        <v>0.75</v>
      </c>
      <c r="AO105" s="1">
        <f t="shared" si="122"/>
        <v>0.90932662287224841</v>
      </c>
      <c r="AP105" s="1">
        <f t="shared" si="123"/>
        <v>0.90932662287224841</v>
      </c>
      <c r="AQ105" s="1">
        <f t="shared" si="124"/>
        <v>0.34</v>
      </c>
      <c r="AR105" s="1">
        <f t="shared" si="125"/>
        <v>0.73684210526315785</v>
      </c>
      <c r="AS105" s="1">
        <f t="shared" si="126"/>
        <v>0.56209665848600399</v>
      </c>
      <c r="AT105" s="1">
        <f t="shared" si="127"/>
        <v>0.76842553891458565</v>
      </c>
      <c r="AU105" s="11">
        <f t="shared" si="128"/>
        <v>0.53807406517830558</v>
      </c>
      <c r="AW105" s="1">
        <v>63</v>
      </c>
      <c r="AX105" s="12">
        <v>48</v>
      </c>
      <c r="AZ105" s="11">
        <f t="shared" si="129"/>
        <v>0.96923076923076923</v>
      </c>
      <c r="BA105" s="11">
        <f t="shared" si="130"/>
        <v>0.96923076923076923</v>
      </c>
      <c r="BB105" s="11">
        <f t="shared" si="131"/>
        <v>0.13496932515337423</v>
      </c>
      <c r="BC105" s="11">
        <f t="shared" si="132"/>
        <v>0.13496932515337423</v>
      </c>
      <c r="BD105" s="11">
        <f t="shared" si="133"/>
        <v>0.55115744016567758</v>
      </c>
      <c r="BF105" s="11">
        <f t="shared" si="134"/>
        <v>0.47009371708244846</v>
      </c>
      <c r="BG105" s="11">
        <f t="shared" si="135"/>
        <v>0.64474693330864608</v>
      </c>
      <c r="BI105" s="11">
        <v>0.64474693330864608</v>
      </c>
      <c r="BJ105" s="11">
        <v>0.20410037425033112</v>
      </c>
      <c r="BK105" s="11">
        <v>0.62070858062030299</v>
      </c>
      <c r="BM105" s="11">
        <f t="shared" si="100"/>
        <v>0.59226885396189455</v>
      </c>
      <c r="BN105" s="11">
        <f t="shared" si="99"/>
        <v>0.43804255829148425</v>
      </c>
      <c r="BP105" s="11">
        <f t="shared" si="137"/>
        <v>0.95208658160017756</v>
      </c>
      <c r="BQ105" s="11">
        <f t="shared" si="138"/>
        <v>0.69613644899690841</v>
      </c>
    </row>
    <row r="106" spans="1:69" x14ac:dyDescent="0.35">
      <c r="A106" t="s">
        <v>127</v>
      </c>
      <c r="B106" t="s">
        <v>128</v>
      </c>
      <c r="C106">
        <v>30</v>
      </c>
      <c r="D106" t="s">
        <v>53</v>
      </c>
      <c r="E106" t="s">
        <v>91</v>
      </c>
      <c r="F106">
        <v>1</v>
      </c>
      <c r="G106">
        <v>1.32</v>
      </c>
      <c r="H106">
        <v>1</v>
      </c>
      <c r="I106">
        <f t="shared" si="107"/>
        <v>1.32</v>
      </c>
      <c r="J106">
        <v>0.75</v>
      </c>
      <c r="K106">
        <v>1</v>
      </c>
      <c r="L106">
        <f t="shared" si="108"/>
        <v>0.75</v>
      </c>
      <c r="M106">
        <v>3</v>
      </c>
      <c r="N106" s="1">
        <f t="shared" si="109"/>
        <v>24.81483705480149</v>
      </c>
      <c r="O106" s="1">
        <f t="shared" si="110"/>
        <v>14.250032697803595</v>
      </c>
      <c r="P106" s="1">
        <f t="shared" si="111"/>
        <v>19.532434876302542</v>
      </c>
      <c r="Q106">
        <v>30</v>
      </c>
      <c r="S106">
        <f t="shared" si="112"/>
        <v>1</v>
      </c>
      <c r="T106" s="1">
        <f t="shared" si="113"/>
        <v>0.54937181337064767</v>
      </c>
      <c r="U106" s="1">
        <f t="shared" si="114"/>
        <v>0.58479998094819008</v>
      </c>
      <c r="V106" s="1">
        <f t="shared" si="115"/>
        <v>1</v>
      </c>
      <c r="W106" s="1">
        <f t="shared" si="116"/>
        <v>0.58479998094819008</v>
      </c>
      <c r="X106" s="1">
        <f t="shared" si="117"/>
        <v>0.65384202815608661</v>
      </c>
      <c r="Y106">
        <v>0.98</v>
      </c>
      <c r="Z106" s="1">
        <f t="shared" si="118"/>
        <v>22.725784030878145</v>
      </c>
      <c r="AA106" s="1">
        <f t="shared" si="119"/>
        <v>0.40730135298895459</v>
      </c>
      <c r="AB106" s="1">
        <f t="shared" si="120"/>
        <v>0.62781913664917888</v>
      </c>
      <c r="AD106" s="1">
        <v>30</v>
      </c>
      <c r="AE106" s="1">
        <v>0.8</v>
      </c>
      <c r="AF106" s="1">
        <f t="shared" si="136"/>
        <v>24</v>
      </c>
      <c r="AG106" s="1">
        <f t="shared" si="98"/>
        <v>0.47058823529411764</v>
      </c>
      <c r="AH106" s="1">
        <v>0.34</v>
      </c>
      <c r="AI106" s="1">
        <v>0.45</v>
      </c>
      <c r="AJ106" s="1">
        <v>6</v>
      </c>
      <c r="AK106" s="1"/>
      <c r="AL106" s="1"/>
      <c r="AN106" s="1">
        <f t="shared" si="121"/>
        <v>0.8</v>
      </c>
      <c r="AO106" s="1">
        <f t="shared" si="122"/>
        <v>0.918403174696378</v>
      </c>
      <c r="AP106" s="1">
        <f t="shared" si="123"/>
        <v>0.918403174696378</v>
      </c>
      <c r="AQ106" s="1">
        <f t="shared" si="124"/>
        <v>0.34</v>
      </c>
      <c r="AR106" s="1">
        <f t="shared" si="125"/>
        <v>0.73684210526315785</v>
      </c>
      <c r="AS106" s="1">
        <f t="shared" si="126"/>
        <v>0.56209665848600399</v>
      </c>
      <c r="AT106" s="1">
        <f t="shared" si="127"/>
        <v>0.77340245415121811</v>
      </c>
      <c r="AU106" s="11">
        <f t="shared" si="128"/>
        <v>0.4855568610475739</v>
      </c>
      <c r="AW106" s="1">
        <v>63</v>
      </c>
      <c r="AX106" s="12">
        <v>48</v>
      </c>
      <c r="AZ106" s="11">
        <f t="shared" si="129"/>
        <v>0.96923076923076923</v>
      </c>
      <c r="BA106" s="11">
        <f t="shared" si="130"/>
        <v>0.96923076923076923</v>
      </c>
      <c r="BB106" s="11">
        <f t="shared" si="131"/>
        <v>0.13496932515337423</v>
      </c>
      <c r="BC106" s="11">
        <f t="shared" si="132"/>
        <v>0.13496932515337423</v>
      </c>
      <c r="BD106" s="11">
        <f t="shared" si="133"/>
        <v>0.55115744016567758</v>
      </c>
      <c r="BF106" s="11">
        <f t="shared" si="134"/>
        <v>0.42421154342218792</v>
      </c>
      <c r="BG106" s="11">
        <f t="shared" si="135"/>
        <v>0.58181822423211238</v>
      </c>
      <c r="BI106" s="11">
        <v>0.58181822423211238</v>
      </c>
      <c r="BJ106" s="11">
        <v>0.20410037425033112</v>
      </c>
      <c r="BK106" s="11">
        <v>0.62070858062030299</v>
      </c>
      <c r="BM106" s="11">
        <f t="shared" si="100"/>
        <v>0.557658063969801</v>
      </c>
      <c r="BN106" s="11">
        <f t="shared" si="99"/>
        <v>0.4254568164761775</v>
      </c>
      <c r="BP106" s="11">
        <f t="shared" si="137"/>
        <v>0.89644889525279781</v>
      </c>
      <c r="BQ106" s="11">
        <f t="shared" si="138"/>
        <v>0.67613521064812343</v>
      </c>
    </row>
    <row r="107" spans="1:69" x14ac:dyDescent="0.35">
      <c r="A107" t="s">
        <v>127</v>
      </c>
      <c r="B107" t="s">
        <v>128</v>
      </c>
      <c r="C107">
        <v>25</v>
      </c>
      <c r="D107" t="s">
        <v>53</v>
      </c>
      <c r="E107" t="s">
        <v>92</v>
      </c>
      <c r="F107">
        <v>1</v>
      </c>
      <c r="G107">
        <v>1.32</v>
      </c>
      <c r="H107">
        <v>1</v>
      </c>
      <c r="I107">
        <f t="shared" si="107"/>
        <v>1.32</v>
      </c>
      <c r="J107">
        <v>0.75</v>
      </c>
      <c r="K107">
        <v>1</v>
      </c>
      <c r="L107">
        <f t="shared" si="108"/>
        <v>0.75</v>
      </c>
      <c r="M107">
        <v>3</v>
      </c>
      <c r="N107" s="1">
        <f t="shared" si="109"/>
        <v>24.81483705480149</v>
      </c>
      <c r="O107" s="1">
        <f t="shared" si="110"/>
        <v>14.250032697803595</v>
      </c>
      <c r="P107" s="1">
        <f t="shared" si="111"/>
        <v>19.532434876302542</v>
      </c>
      <c r="Q107">
        <v>25</v>
      </c>
      <c r="S107">
        <f t="shared" si="112"/>
        <v>1</v>
      </c>
      <c r="T107" s="1">
        <f t="shared" si="113"/>
        <v>0.54937181337064767</v>
      </c>
      <c r="U107" s="1">
        <f t="shared" si="114"/>
        <v>0.58479998094819008</v>
      </c>
      <c r="V107" s="1">
        <f t="shared" si="115"/>
        <v>1</v>
      </c>
      <c r="W107" s="1">
        <f t="shared" si="116"/>
        <v>0.58479998094819008</v>
      </c>
      <c r="X107" s="1">
        <f t="shared" si="117"/>
        <v>0.65384202815608661</v>
      </c>
      <c r="Y107">
        <v>0.97</v>
      </c>
      <c r="Z107" s="1">
        <f t="shared" si="118"/>
        <v>17.767509824854258</v>
      </c>
      <c r="AA107" s="1">
        <f t="shared" si="119"/>
        <v>0.31843701326541424</v>
      </c>
      <c r="AB107" s="1">
        <f t="shared" si="120"/>
        <v>0.5689546156728138</v>
      </c>
      <c r="AD107" s="1">
        <v>25</v>
      </c>
      <c r="AE107" s="1">
        <v>0.8</v>
      </c>
      <c r="AF107" s="1">
        <f t="shared" si="136"/>
        <v>20</v>
      </c>
      <c r="AG107" s="1">
        <f t="shared" si="98"/>
        <v>0.39215686274509803</v>
      </c>
      <c r="AH107" s="1">
        <v>0.34</v>
      </c>
      <c r="AI107" s="1">
        <v>0.45</v>
      </c>
      <c r="AJ107" s="1">
        <v>6</v>
      </c>
      <c r="AK107" s="1"/>
      <c r="AL107" s="1"/>
      <c r="AN107" s="1">
        <f t="shared" si="121"/>
        <v>0.8</v>
      </c>
      <c r="AO107" s="1">
        <f t="shared" si="122"/>
        <v>0.91725768149546261</v>
      </c>
      <c r="AP107" s="1">
        <f t="shared" si="123"/>
        <v>0.91725768149546261</v>
      </c>
      <c r="AQ107" s="1">
        <f t="shared" si="124"/>
        <v>0.34</v>
      </c>
      <c r="AR107" s="1">
        <f t="shared" si="125"/>
        <v>0.73684210526315785</v>
      </c>
      <c r="AS107" s="1">
        <f t="shared" si="126"/>
        <v>0.56209665848600399</v>
      </c>
      <c r="AT107" s="1">
        <f t="shared" si="127"/>
        <v>0.77277530205389333</v>
      </c>
      <c r="AU107" s="11">
        <f t="shared" si="128"/>
        <v>0.43967407498151551</v>
      </c>
      <c r="AW107" s="1">
        <v>63</v>
      </c>
      <c r="AX107" s="12">
        <v>48</v>
      </c>
      <c r="AZ107" s="11">
        <f t="shared" si="129"/>
        <v>0.96923076923076923</v>
      </c>
      <c r="BA107" s="11">
        <f t="shared" si="130"/>
        <v>0.96923076923076923</v>
      </c>
      <c r="BB107" s="11">
        <f t="shared" si="131"/>
        <v>0.13496932515337423</v>
      </c>
      <c r="BC107" s="11">
        <f t="shared" si="132"/>
        <v>0.13496932515337423</v>
      </c>
      <c r="BD107" s="11">
        <f t="shared" si="133"/>
        <v>0.55115744016567758</v>
      </c>
      <c r="BF107" s="11">
        <f t="shared" si="134"/>
        <v>0.38412559457656825</v>
      </c>
      <c r="BG107" s="11">
        <f t="shared" si="135"/>
        <v>0.52683920271405282</v>
      </c>
      <c r="BI107" s="11">
        <v>0.52683920271405282</v>
      </c>
      <c r="BJ107" s="11">
        <v>0.20410037425033112</v>
      </c>
      <c r="BK107" s="11">
        <v>0.62070858062030299</v>
      </c>
      <c r="BM107" s="11">
        <f t="shared" si="100"/>
        <v>0.52741960213486827</v>
      </c>
      <c r="BN107" s="11">
        <f t="shared" si="99"/>
        <v>0.41446101217256559</v>
      </c>
      <c r="BP107" s="11">
        <f t="shared" si="137"/>
        <v>0.84783983271526175</v>
      </c>
      <c r="BQ107" s="11">
        <f t="shared" si="138"/>
        <v>0.65866069814496209</v>
      </c>
    </row>
    <row r="108" spans="1:69" x14ac:dyDescent="0.35">
      <c r="A108" t="s">
        <v>127</v>
      </c>
      <c r="B108" t="s">
        <v>128</v>
      </c>
      <c r="C108">
        <v>20</v>
      </c>
      <c r="D108" t="s">
        <v>53</v>
      </c>
      <c r="E108" t="s">
        <v>55</v>
      </c>
      <c r="F108">
        <v>1</v>
      </c>
      <c r="G108">
        <v>1.32</v>
      </c>
      <c r="H108">
        <v>1</v>
      </c>
      <c r="I108">
        <f t="shared" si="107"/>
        <v>1.32</v>
      </c>
      <c r="J108">
        <v>0.75</v>
      </c>
      <c r="K108">
        <v>1</v>
      </c>
      <c r="L108">
        <f t="shared" si="108"/>
        <v>0.75</v>
      </c>
      <c r="M108">
        <v>3</v>
      </c>
      <c r="N108" s="1">
        <f t="shared" si="109"/>
        <v>24.81483705480149</v>
      </c>
      <c r="O108" s="1">
        <f t="shared" si="110"/>
        <v>14.250032697803595</v>
      </c>
      <c r="P108" s="1">
        <f t="shared" si="111"/>
        <v>19.532434876302542</v>
      </c>
      <c r="Q108">
        <v>20</v>
      </c>
      <c r="S108">
        <f t="shared" si="112"/>
        <v>1</v>
      </c>
      <c r="T108" s="1">
        <f t="shared" si="113"/>
        <v>0.54937181337064767</v>
      </c>
      <c r="U108" s="1">
        <f t="shared" si="114"/>
        <v>0.58479998094819008</v>
      </c>
      <c r="V108" s="1">
        <f t="shared" si="115"/>
        <v>1</v>
      </c>
      <c r="W108" s="1">
        <f t="shared" si="116"/>
        <v>0.58479998094819008</v>
      </c>
      <c r="X108" s="1">
        <f t="shared" si="117"/>
        <v>0.65384202815608661</v>
      </c>
      <c r="Y108">
        <v>0.96</v>
      </c>
      <c r="Z108" s="1">
        <f t="shared" si="118"/>
        <v>13.949939153014794</v>
      </c>
      <c r="AA108" s="1">
        <f t="shared" si="119"/>
        <v>0.25001685677451041</v>
      </c>
      <c r="AB108" s="1">
        <f t="shared" si="120"/>
        <v>0.51648287311216878</v>
      </c>
      <c r="AD108" s="1">
        <v>20</v>
      </c>
      <c r="AE108" s="1">
        <v>0.8</v>
      </c>
      <c r="AF108" s="1">
        <f t="shared" si="136"/>
        <v>16</v>
      </c>
      <c r="AG108" s="1">
        <f t="shared" si="98"/>
        <v>0.31372549019607843</v>
      </c>
      <c r="AH108" s="1">
        <v>0.34</v>
      </c>
      <c r="AI108" s="1">
        <v>0.45</v>
      </c>
      <c r="AJ108" s="1">
        <v>6</v>
      </c>
      <c r="AK108" s="1"/>
      <c r="AL108" s="1"/>
      <c r="AN108" s="1">
        <f t="shared" si="121"/>
        <v>0.8</v>
      </c>
      <c r="AO108" s="1">
        <f t="shared" si="122"/>
        <v>0.91610261414013872</v>
      </c>
      <c r="AP108" s="1">
        <f t="shared" si="123"/>
        <v>0.91610261414013872</v>
      </c>
      <c r="AQ108" s="1">
        <f t="shared" si="124"/>
        <v>0.34</v>
      </c>
      <c r="AR108" s="1">
        <f t="shared" si="125"/>
        <v>0.73684210526315785</v>
      </c>
      <c r="AS108" s="1">
        <f t="shared" si="126"/>
        <v>0.56209665848600399</v>
      </c>
      <c r="AT108" s="1">
        <f t="shared" si="127"/>
        <v>0.77214263052322707</v>
      </c>
      <c r="AU108" s="11">
        <f t="shared" si="128"/>
        <v>0.39879844426502409</v>
      </c>
      <c r="AW108" s="1">
        <v>63</v>
      </c>
      <c r="AX108" s="12">
        <v>48</v>
      </c>
      <c r="AZ108" s="11">
        <f t="shared" si="129"/>
        <v>0.96923076923076923</v>
      </c>
      <c r="BA108" s="11">
        <f t="shared" si="130"/>
        <v>0.96923076923076923</v>
      </c>
      <c r="BB108" s="11">
        <f t="shared" si="131"/>
        <v>0.13496932515337423</v>
      </c>
      <c r="BC108" s="11">
        <f t="shared" si="132"/>
        <v>0.13496932515337423</v>
      </c>
      <c r="BD108" s="11">
        <f t="shared" si="133"/>
        <v>0.55115744016567758</v>
      </c>
      <c r="BF108" s="11">
        <f t="shared" si="134"/>
        <v>0.34841419641572696</v>
      </c>
      <c r="BG108" s="11">
        <f t="shared" si="135"/>
        <v>0.47786000215960639</v>
      </c>
      <c r="BI108" s="11">
        <v>0.47786000215960639</v>
      </c>
      <c r="BJ108" s="11">
        <v>0.20410037425033112</v>
      </c>
      <c r="BK108" s="11">
        <v>0.62070858062030299</v>
      </c>
      <c r="BM108" s="11">
        <f t="shared" si="100"/>
        <v>0.50048104182992259</v>
      </c>
      <c r="BN108" s="11">
        <f t="shared" si="99"/>
        <v>0.40466517206167629</v>
      </c>
      <c r="BP108" s="11">
        <f t="shared" si="137"/>
        <v>0.8045354421122467</v>
      </c>
      <c r="BQ108" s="11">
        <f t="shared" si="138"/>
        <v>0.64309316658745008</v>
      </c>
    </row>
    <row r="109" spans="1:69" x14ac:dyDescent="0.35">
      <c r="A109" t="s">
        <v>127</v>
      </c>
      <c r="B109" t="s">
        <v>128</v>
      </c>
      <c r="C109">
        <v>15</v>
      </c>
      <c r="D109" t="s">
        <v>53</v>
      </c>
      <c r="E109" t="s">
        <v>93</v>
      </c>
      <c r="F109">
        <v>1</v>
      </c>
      <c r="G109">
        <v>1.32</v>
      </c>
      <c r="H109">
        <v>1</v>
      </c>
      <c r="I109">
        <f t="shared" si="107"/>
        <v>1.32</v>
      </c>
      <c r="J109">
        <v>0.75</v>
      </c>
      <c r="K109">
        <v>1</v>
      </c>
      <c r="L109">
        <f t="shared" si="108"/>
        <v>0.75</v>
      </c>
      <c r="M109">
        <v>3</v>
      </c>
      <c r="N109" s="1">
        <f t="shared" si="109"/>
        <v>24.81483705480149</v>
      </c>
      <c r="O109" s="1">
        <f t="shared" si="110"/>
        <v>14.250032697803595</v>
      </c>
      <c r="P109" s="1">
        <f t="shared" si="111"/>
        <v>19.532434876302542</v>
      </c>
      <c r="Q109">
        <v>15</v>
      </c>
      <c r="S109">
        <f t="shared" si="112"/>
        <v>1</v>
      </c>
      <c r="T109" s="1">
        <f t="shared" si="113"/>
        <v>0.54937181337064767</v>
      </c>
      <c r="U109" s="1">
        <f t="shared" si="114"/>
        <v>0.58479998094819008</v>
      </c>
      <c r="V109" s="1">
        <f t="shared" si="115"/>
        <v>1</v>
      </c>
      <c r="W109" s="1">
        <f t="shared" si="116"/>
        <v>0.58479998094819008</v>
      </c>
      <c r="X109" s="1">
        <f t="shared" si="117"/>
        <v>0.65384202815608661</v>
      </c>
      <c r="Y109">
        <v>0.95</v>
      </c>
      <c r="Z109" s="1">
        <f t="shared" si="118"/>
        <v>10.734175396804924</v>
      </c>
      <c r="AA109" s="1">
        <f t="shared" si="119"/>
        <v>0.19238254470776356</v>
      </c>
      <c r="AB109" s="1">
        <f t="shared" si="120"/>
        <v>0.46508729329309451</v>
      </c>
      <c r="AD109" s="1">
        <v>15</v>
      </c>
      <c r="AE109" s="1">
        <v>0.9</v>
      </c>
      <c r="AF109" s="1">
        <f t="shared" si="136"/>
        <v>13.5</v>
      </c>
      <c r="AG109" s="1">
        <f t="shared" si="98"/>
        <v>0.26470588235294118</v>
      </c>
      <c r="AH109" s="1">
        <v>0.34</v>
      </c>
      <c r="AI109" s="1">
        <v>0.45</v>
      </c>
      <c r="AJ109" s="1">
        <v>6</v>
      </c>
      <c r="AK109" s="1"/>
      <c r="AL109" s="1"/>
      <c r="AN109" s="1">
        <f t="shared" si="121"/>
        <v>0.9</v>
      </c>
      <c r="AO109" s="1">
        <f t="shared" si="122"/>
        <v>0.93443518555010896</v>
      </c>
      <c r="AP109" s="1">
        <f t="shared" si="123"/>
        <v>0.93443518555010896</v>
      </c>
      <c r="AQ109" s="1">
        <f t="shared" si="124"/>
        <v>0.34</v>
      </c>
      <c r="AR109" s="1">
        <f t="shared" si="125"/>
        <v>0.73684210526315785</v>
      </c>
      <c r="AS109" s="1">
        <f t="shared" si="126"/>
        <v>0.56209665848600399</v>
      </c>
      <c r="AT109" s="1">
        <f t="shared" si="127"/>
        <v>0.78215138791217542</v>
      </c>
      <c r="AU109" s="11">
        <f t="shared" si="128"/>
        <v>0.36376867194951085</v>
      </c>
      <c r="AW109" s="1">
        <v>63</v>
      </c>
      <c r="AX109" s="12">
        <v>48</v>
      </c>
      <c r="AZ109" s="11">
        <f t="shared" si="129"/>
        <v>0.96923076923076923</v>
      </c>
      <c r="BA109" s="11">
        <f t="shared" si="130"/>
        <v>0.96923076923076923</v>
      </c>
      <c r="BB109" s="11">
        <f t="shared" si="131"/>
        <v>0.13496932515337423</v>
      </c>
      <c r="BC109" s="11">
        <f t="shared" si="132"/>
        <v>0.13496932515337423</v>
      </c>
      <c r="BD109" s="11">
        <f t="shared" si="133"/>
        <v>0.55115744016567758</v>
      </c>
      <c r="BF109" s="11">
        <f t="shared" si="134"/>
        <v>0.31781009013735689</v>
      </c>
      <c r="BG109" s="11">
        <f t="shared" si="135"/>
        <v>0.43588559800867782</v>
      </c>
      <c r="BI109" s="11">
        <v>0.43588559800867782</v>
      </c>
      <c r="BJ109" s="11">
        <v>0.20410037425033112</v>
      </c>
      <c r="BK109" s="11">
        <v>0.62070858062030299</v>
      </c>
      <c r="BM109" s="11">
        <f t="shared" si="100"/>
        <v>0.47739511954691194</v>
      </c>
      <c r="BN109" s="11">
        <f t="shared" si="99"/>
        <v>0.3962702912314906</v>
      </c>
      <c r="BP109" s="11">
        <f t="shared" si="137"/>
        <v>0.76742426079233028</v>
      </c>
      <c r="BQ109" s="11">
        <f t="shared" si="138"/>
        <v>0.62975203700937621</v>
      </c>
    </row>
    <row r="110" spans="1:69" x14ac:dyDescent="0.35">
      <c r="A110" t="s">
        <v>127</v>
      </c>
      <c r="B110" t="s">
        <v>128</v>
      </c>
      <c r="C110">
        <v>10</v>
      </c>
      <c r="D110" t="s">
        <v>53</v>
      </c>
      <c r="E110" t="s">
        <v>94</v>
      </c>
      <c r="F110">
        <v>1</v>
      </c>
      <c r="G110">
        <v>1.32</v>
      </c>
      <c r="H110">
        <v>1</v>
      </c>
      <c r="I110">
        <f t="shared" si="107"/>
        <v>1.32</v>
      </c>
      <c r="J110">
        <v>0.75</v>
      </c>
      <c r="K110">
        <v>1</v>
      </c>
      <c r="L110">
        <f t="shared" si="108"/>
        <v>0.75</v>
      </c>
      <c r="M110">
        <v>3</v>
      </c>
      <c r="N110" s="1">
        <f t="shared" si="109"/>
        <v>24.81483705480149</v>
      </c>
      <c r="O110" s="1">
        <f t="shared" si="110"/>
        <v>14.250032697803595</v>
      </c>
      <c r="P110" s="1">
        <f t="shared" si="111"/>
        <v>19.532434876302542</v>
      </c>
      <c r="Q110">
        <v>10</v>
      </c>
      <c r="S110">
        <f t="shared" si="112"/>
        <v>1</v>
      </c>
      <c r="T110" s="1">
        <f t="shared" si="113"/>
        <v>0.54937181337064767</v>
      </c>
      <c r="U110" s="1">
        <f t="shared" si="114"/>
        <v>0.58479998094819008</v>
      </c>
      <c r="V110" s="1">
        <f t="shared" si="115"/>
        <v>1</v>
      </c>
      <c r="W110" s="1">
        <f t="shared" si="116"/>
        <v>0.58479998094819008</v>
      </c>
      <c r="X110" s="1">
        <f t="shared" si="117"/>
        <v>0.65384202815608661</v>
      </c>
      <c r="Y110">
        <v>0.9</v>
      </c>
      <c r="Z110" s="1">
        <f t="shared" si="118"/>
        <v>6.5132155989999996</v>
      </c>
      <c r="AA110" s="1">
        <f t="shared" si="119"/>
        <v>0.11673267343282748</v>
      </c>
      <c r="AB110" s="1">
        <f t="shared" si="120"/>
        <v>0.38084230151788057</v>
      </c>
      <c r="AD110" s="1">
        <v>10</v>
      </c>
      <c r="AE110" s="1">
        <v>0.9</v>
      </c>
      <c r="AF110" s="1">
        <f t="shared" si="136"/>
        <v>9</v>
      </c>
      <c r="AG110" s="1">
        <f t="shared" si="98"/>
        <v>0.17647058823529413</v>
      </c>
      <c r="AH110" s="1">
        <v>0.34</v>
      </c>
      <c r="AI110" s="1">
        <v>0.45</v>
      </c>
      <c r="AJ110" s="1">
        <v>6</v>
      </c>
      <c r="AK110" s="1"/>
      <c r="AL110" s="1"/>
      <c r="AN110" s="1">
        <f t="shared" si="121"/>
        <v>0.9</v>
      </c>
      <c r="AO110" s="1">
        <f t="shared" si="122"/>
        <v>0.93348979998399428</v>
      </c>
      <c r="AP110" s="1">
        <f t="shared" si="123"/>
        <v>0.93348979998399428</v>
      </c>
      <c r="AQ110" s="1">
        <f t="shared" si="124"/>
        <v>0.34</v>
      </c>
      <c r="AR110" s="1">
        <f t="shared" si="125"/>
        <v>0.73684210526315785</v>
      </c>
      <c r="AS110" s="1">
        <f t="shared" si="126"/>
        <v>0.56209665848600399</v>
      </c>
      <c r="AT110" s="1">
        <f t="shared" si="127"/>
        <v>0.78163694062489519</v>
      </c>
      <c r="AU110" s="11">
        <f t="shared" si="128"/>
        <v>0.29768041141898005</v>
      </c>
      <c r="AW110" s="1">
        <v>63</v>
      </c>
      <c r="AX110" s="12">
        <v>48</v>
      </c>
      <c r="AZ110" s="11">
        <f t="shared" si="129"/>
        <v>0.96923076923076923</v>
      </c>
      <c r="BA110" s="11">
        <f t="shared" si="130"/>
        <v>0.96923076923076923</v>
      </c>
      <c r="BB110" s="11">
        <f t="shared" si="131"/>
        <v>0.13496932515337423</v>
      </c>
      <c r="BC110" s="11">
        <f t="shared" si="132"/>
        <v>0.13496932515337423</v>
      </c>
      <c r="BD110" s="11">
        <f t="shared" si="133"/>
        <v>0.55115744016567758</v>
      </c>
      <c r="BF110" s="11">
        <f t="shared" si="134"/>
        <v>0.26007142912604175</v>
      </c>
      <c r="BG110" s="11">
        <f t="shared" si="135"/>
        <v>0.35669537855321587</v>
      </c>
      <c r="BI110" s="11">
        <v>0.35669537855321587</v>
      </c>
      <c r="BJ110" s="11">
        <v>0.20410037425033112</v>
      </c>
      <c r="BK110" s="11">
        <v>0.62070858062030299</v>
      </c>
      <c r="BM110" s="11">
        <f t="shared" si="100"/>
        <v>0.43384049884640785</v>
      </c>
      <c r="BN110" s="11">
        <f t="shared" si="99"/>
        <v>0.38043224734039821</v>
      </c>
      <c r="BP110" s="11">
        <f t="shared" si="137"/>
        <v>0.69740914914456631</v>
      </c>
      <c r="BQ110" s="11">
        <f t="shared" si="138"/>
        <v>0.6045822460274104</v>
      </c>
    </row>
    <row r="111" spans="1:69" x14ac:dyDescent="0.35">
      <c r="A111" t="s">
        <v>127</v>
      </c>
      <c r="B111" t="s">
        <v>128</v>
      </c>
      <c r="C111">
        <v>5</v>
      </c>
      <c r="D111" t="s">
        <v>53</v>
      </c>
      <c r="E111" t="s">
        <v>123</v>
      </c>
      <c r="F111">
        <v>1</v>
      </c>
      <c r="G111">
        <v>1.32</v>
      </c>
      <c r="H111">
        <v>1</v>
      </c>
      <c r="I111">
        <f t="shared" si="107"/>
        <v>1.32</v>
      </c>
      <c r="J111">
        <v>0.75</v>
      </c>
      <c r="K111">
        <v>1</v>
      </c>
      <c r="L111">
        <f t="shared" si="108"/>
        <v>0.75</v>
      </c>
      <c r="M111">
        <v>3</v>
      </c>
      <c r="N111" s="1">
        <f t="shared" si="109"/>
        <v>24.81483705480149</v>
      </c>
      <c r="O111" s="1">
        <f t="shared" si="110"/>
        <v>14.250032697803595</v>
      </c>
      <c r="P111" s="1">
        <f t="shared" si="111"/>
        <v>19.532434876302542</v>
      </c>
      <c r="Q111">
        <v>5</v>
      </c>
      <c r="S111">
        <f t="shared" si="112"/>
        <v>1</v>
      </c>
      <c r="T111" s="1">
        <f t="shared" si="113"/>
        <v>0.54937181337064767</v>
      </c>
      <c r="U111" s="1">
        <f t="shared" si="114"/>
        <v>0.58479998094819008</v>
      </c>
      <c r="V111" s="1">
        <f t="shared" si="115"/>
        <v>1</v>
      </c>
      <c r="W111" s="1">
        <f t="shared" si="116"/>
        <v>0.58479998094819008</v>
      </c>
      <c r="X111" s="1">
        <f t="shared" si="117"/>
        <v>0.65384202815608661</v>
      </c>
      <c r="Y111">
        <v>0.85</v>
      </c>
      <c r="Z111" s="1">
        <f t="shared" si="118"/>
        <v>3.7086312500000003</v>
      </c>
      <c r="AA111" s="1">
        <f t="shared" si="119"/>
        <v>6.646769694764848E-2</v>
      </c>
      <c r="AB111" s="1">
        <f t="shared" si="120"/>
        <v>0.30402721462915222</v>
      </c>
      <c r="AD111" s="1">
        <v>5</v>
      </c>
      <c r="AE111" s="1">
        <v>0.95</v>
      </c>
      <c r="AF111" s="1">
        <f t="shared" si="136"/>
        <v>4.75</v>
      </c>
      <c r="AG111" s="1">
        <f t="shared" si="98"/>
        <v>9.3137254901960786E-2</v>
      </c>
      <c r="AH111" s="1">
        <v>0.34</v>
      </c>
      <c r="AI111" s="1">
        <v>0.45</v>
      </c>
      <c r="AJ111" s="1">
        <v>6</v>
      </c>
      <c r="AK111" s="1"/>
      <c r="AL111" s="1"/>
      <c r="AN111" s="1">
        <f t="shared" si="121"/>
        <v>0.95</v>
      </c>
      <c r="AO111" s="1">
        <f t="shared" si="122"/>
        <v>0.94192068251792282</v>
      </c>
      <c r="AP111" s="1">
        <f t="shared" si="123"/>
        <v>0.94192068251792282</v>
      </c>
      <c r="AQ111" s="1">
        <f t="shared" si="124"/>
        <v>0.34</v>
      </c>
      <c r="AR111" s="1">
        <f t="shared" si="125"/>
        <v>0.73684210526315785</v>
      </c>
      <c r="AS111" s="1">
        <f t="shared" si="126"/>
        <v>0.56209665848600399</v>
      </c>
      <c r="AT111" s="1">
        <f t="shared" si="127"/>
        <v>0.78621833541096786</v>
      </c>
      <c r="AU111" s="11">
        <f t="shared" si="128"/>
        <v>0.23903177060536512</v>
      </c>
      <c r="AW111" s="1">
        <v>63</v>
      </c>
      <c r="AX111" s="12">
        <v>48</v>
      </c>
      <c r="AZ111" s="11">
        <f t="shared" si="129"/>
        <v>0.96923076923076923</v>
      </c>
      <c r="BA111" s="11">
        <f t="shared" si="130"/>
        <v>0.96923076923076923</v>
      </c>
      <c r="BB111" s="11">
        <f t="shared" si="131"/>
        <v>0.13496932515337423</v>
      </c>
      <c r="BC111" s="11">
        <f t="shared" si="132"/>
        <v>0.13496932515337423</v>
      </c>
      <c r="BD111" s="11">
        <f t="shared" si="133"/>
        <v>0.55115744016567758</v>
      </c>
      <c r="BF111" s="11">
        <f t="shared" si="134"/>
        <v>0.2088324652990648</v>
      </c>
      <c r="BG111" s="11">
        <f t="shared" si="135"/>
        <v>0.28641967906420968</v>
      </c>
      <c r="BI111" s="11">
        <v>0.28641967906420968</v>
      </c>
      <c r="BJ111" s="11">
        <v>0.20410037425033112</v>
      </c>
      <c r="BK111" s="11">
        <v>0.62070858062030299</v>
      </c>
      <c r="BM111" s="11">
        <f t="shared" si="100"/>
        <v>0.39518886412745446</v>
      </c>
      <c r="BN111" s="11">
        <f t="shared" si="99"/>
        <v>0.36637710744259699</v>
      </c>
      <c r="BP111" s="11">
        <f t="shared" si="137"/>
        <v>0.63527570666036182</v>
      </c>
      <c r="BQ111" s="11">
        <f t="shared" si="138"/>
        <v>0.58224584287797165</v>
      </c>
    </row>
    <row r="112" spans="1:69" x14ac:dyDescent="0.35">
      <c r="A112" t="s">
        <v>127</v>
      </c>
      <c r="B112" t="s">
        <v>118</v>
      </c>
      <c r="C112">
        <v>20</v>
      </c>
      <c r="D112" t="s">
        <v>53</v>
      </c>
      <c r="E112" t="s">
        <v>55</v>
      </c>
      <c r="F112">
        <v>1</v>
      </c>
      <c r="G112">
        <v>1.32</v>
      </c>
      <c r="H112">
        <v>1</v>
      </c>
      <c r="I112">
        <f t="shared" si="107"/>
        <v>1.32</v>
      </c>
      <c r="J112">
        <v>0.75</v>
      </c>
      <c r="K112">
        <v>1</v>
      </c>
      <c r="L112">
        <f t="shared" si="108"/>
        <v>0.75</v>
      </c>
      <c r="M112">
        <v>3</v>
      </c>
      <c r="N112" s="1">
        <f t="shared" si="109"/>
        <v>24.81483705480149</v>
      </c>
      <c r="O112" s="1">
        <f t="shared" si="110"/>
        <v>14.250032697803595</v>
      </c>
      <c r="P112" s="1">
        <f t="shared" si="111"/>
        <v>19.532434876302542</v>
      </c>
      <c r="Q112">
        <v>20</v>
      </c>
      <c r="S112">
        <f t="shared" si="112"/>
        <v>1</v>
      </c>
      <c r="T112" s="1">
        <f t="shared" si="113"/>
        <v>0.54937181337064767</v>
      </c>
      <c r="U112" s="1">
        <f t="shared" si="114"/>
        <v>0.58479998094819008</v>
      </c>
      <c r="V112" s="1">
        <f t="shared" si="115"/>
        <v>1</v>
      </c>
      <c r="W112" s="1">
        <f t="shared" si="116"/>
        <v>0.58479998094819008</v>
      </c>
      <c r="X112" s="1">
        <f t="shared" si="117"/>
        <v>0.65384202815608661</v>
      </c>
      <c r="Y112">
        <v>0.96</v>
      </c>
      <c r="Z112" s="1">
        <f t="shared" si="118"/>
        <v>13.949939153014794</v>
      </c>
      <c r="AA112" s="1">
        <f t="shared" si="119"/>
        <v>0.25001685677451041</v>
      </c>
      <c r="AB112" s="1">
        <f t="shared" si="120"/>
        <v>0.51648287311216878</v>
      </c>
      <c r="AD112" s="1">
        <v>20</v>
      </c>
      <c r="AE112" s="1">
        <v>0.8</v>
      </c>
      <c r="AF112" s="1">
        <f t="shared" si="136"/>
        <v>16</v>
      </c>
      <c r="AG112" s="1">
        <f t="shared" si="98"/>
        <v>0.31372549019607843</v>
      </c>
      <c r="AH112" s="1">
        <v>0.45</v>
      </c>
      <c r="AI112" s="1">
        <v>0.55000000000000004</v>
      </c>
      <c r="AJ112" s="1">
        <v>1</v>
      </c>
      <c r="AK112" s="1"/>
      <c r="AL112" s="1"/>
      <c r="AN112" s="1">
        <f t="shared" si="121"/>
        <v>0.8</v>
      </c>
      <c r="AO112" s="1">
        <f t="shared" si="122"/>
        <v>0.91610261414013872</v>
      </c>
      <c r="AP112" s="1">
        <f t="shared" si="123"/>
        <v>0.91610261414013872</v>
      </c>
      <c r="AQ112" s="1">
        <f t="shared" si="124"/>
        <v>0.45</v>
      </c>
      <c r="AR112" s="1">
        <f t="shared" si="125"/>
        <v>1</v>
      </c>
      <c r="AS112" s="1">
        <f t="shared" si="126"/>
        <v>0.756178595191623</v>
      </c>
      <c r="AT112" s="1">
        <f t="shared" si="127"/>
        <v>0.85660817058660177</v>
      </c>
      <c r="AU112" s="11">
        <f t="shared" si="128"/>
        <v>0.4424234490759269</v>
      </c>
      <c r="AW112" s="1">
        <v>65</v>
      </c>
      <c r="AX112" s="12">
        <v>8</v>
      </c>
      <c r="AZ112" s="11">
        <f t="shared" si="129"/>
        <v>1</v>
      </c>
      <c r="BA112" s="11">
        <f t="shared" si="130"/>
        <v>1</v>
      </c>
      <c r="BB112" s="11">
        <f t="shared" si="131"/>
        <v>1.2269938650306749E-2</v>
      </c>
      <c r="BC112" s="11">
        <f t="shared" si="132"/>
        <v>1.2269938650306749E-2</v>
      </c>
      <c r="BD112" s="11">
        <f t="shared" si="133"/>
        <v>0.82799662978694943</v>
      </c>
      <c r="BF112" s="11">
        <f t="shared" si="134"/>
        <v>0.41973726734903694</v>
      </c>
      <c r="BG112" s="11">
        <f t="shared" si="135"/>
        <v>0.57568162705560855</v>
      </c>
      <c r="BI112" s="11">
        <v>0.57568162705560855</v>
      </c>
      <c r="BJ112" s="11">
        <v>0.37824423521116496</v>
      </c>
      <c r="BK112" s="11">
        <v>0.34476649250079017</v>
      </c>
      <c r="BM112" s="11">
        <f t="shared" si="100"/>
        <v>0.47511759077697774</v>
      </c>
      <c r="BN112" s="11">
        <f t="shared" si="99"/>
        <v>0.4060145036314225</v>
      </c>
      <c r="BP112" s="11">
        <f t="shared" si="137"/>
        <v>0.76376307792485798</v>
      </c>
      <c r="BQ112" s="11">
        <f t="shared" si="138"/>
        <v>0.64523752190111228</v>
      </c>
    </row>
    <row r="113" spans="1:69" x14ac:dyDescent="0.35">
      <c r="A113" t="s">
        <v>127</v>
      </c>
      <c r="B113" t="s">
        <v>118</v>
      </c>
      <c r="C113">
        <v>15</v>
      </c>
      <c r="D113" t="s">
        <v>53</v>
      </c>
      <c r="E113" t="s">
        <v>93</v>
      </c>
      <c r="F113">
        <v>1</v>
      </c>
      <c r="G113">
        <v>1.32</v>
      </c>
      <c r="H113">
        <v>1</v>
      </c>
      <c r="I113">
        <f t="shared" si="107"/>
        <v>1.32</v>
      </c>
      <c r="J113">
        <v>0.75</v>
      </c>
      <c r="K113">
        <v>1</v>
      </c>
      <c r="L113">
        <f t="shared" si="108"/>
        <v>0.75</v>
      </c>
      <c r="M113">
        <v>3</v>
      </c>
      <c r="N113" s="1">
        <f t="shared" si="109"/>
        <v>24.81483705480149</v>
      </c>
      <c r="O113" s="1">
        <f t="shared" si="110"/>
        <v>14.250032697803595</v>
      </c>
      <c r="P113" s="1">
        <f t="shared" si="111"/>
        <v>19.532434876302542</v>
      </c>
      <c r="Q113">
        <v>15</v>
      </c>
      <c r="S113">
        <f t="shared" si="112"/>
        <v>1</v>
      </c>
      <c r="T113" s="1">
        <f t="shared" si="113"/>
        <v>0.54937181337064767</v>
      </c>
      <c r="U113" s="1">
        <f t="shared" si="114"/>
        <v>0.58479998094819008</v>
      </c>
      <c r="V113" s="1">
        <f t="shared" si="115"/>
        <v>1</v>
      </c>
      <c r="W113" s="1">
        <f t="shared" si="116"/>
        <v>0.58479998094819008</v>
      </c>
      <c r="X113" s="1">
        <f t="shared" si="117"/>
        <v>0.65384202815608661</v>
      </c>
      <c r="Y113">
        <v>0.95</v>
      </c>
      <c r="Z113" s="1">
        <f t="shared" si="118"/>
        <v>10.734175396804924</v>
      </c>
      <c r="AA113" s="1">
        <f t="shared" si="119"/>
        <v>0.19238254470776356</v>
      </c>
      <c r="AB113" s="1">
        <f t="shared" si="120"/>
        <v>0.46508729329309451</v>
      </c>
      <c r="AD113" s="1">
        <v>15</v>
      </c>
      <c r="AE113" s="1">
        <v>0.9</v>
      </c>
      <c r="AF113" s="1">
        <f t="shared" si="136"/>
        <v>13.5</v>
      </c>
      <c r="AG113" s="1">
        <f t="shared" si="98"/>
        <v>0.26470588235294118</v>
      </c>
      <c r="AH113" s="1">
        <v>0.45</v>
      </c>
      <c r="AI113" s="1">
        <v>0.55000000000000004</v>
      </c>
      <c r="AJ113" s="1">
        <v>1</v>
      </c>
      <c r="AK113" s="1"/>
      <c r="AL113" s="1"/>
      <c r="AN113" s="1">
        <f t="shared" si="121"/>
        <v>0.9</v>
      </c>
      <c r="AO113" s="1">
        <f t="shared" si="122"/>
        <v>0.93443518555010896</v>
      </c>
      <c r="AP113" s="1">
        <f t="shared" si="123"/>
        <v>0.93443518555010896</v>
      </c>
      <c r="AQ113" s="1">
        <f t="shared" si="124"/>
        <v>0.45</v>
      </c>
      <c r="AR113" s="1">
        <f t="shared" si="125"/>
        <v>1</v>
      </c>
      <c r="AS113" s="1">
        <f t="shared" si="126"/>
        <v>0.756178595191623</v>
      </c>
      <c r="AT113" s="1">
        <f t="shared" si="127"/>
        <v>0.86771179706424173</v>
      </c>
      <c r="AU113" s="11">
        <f t="shared" si="128"/>
        <v>0.40356173105509507</v>
      </c>
      <c r="AW113" s="1">
        <v>65</v>
      </c>
      <c r="AX113" s="12">
        <v>8</v>
      </c>
      <c r="AZ113" s="11">
        <f t="shared" si="129"/>
        <v>1</v>
      </c>
      <c r="BA113" s="11">
        <f t="shared" si="130"/>
        <v>1</v>
      </c>
      <c r="BB113" s="11">
        <f t="shared" si="131"/>
        <v>1.2269938650306749E-2</v>
      </c>
      <c r="BC113" s="11">
        <f t="shared" si="132"/>
        <v>1.2269938650306749E-2</v>
      </c>
      <c r="BD113" s="11">
        <f t="shared" si="133"/>
        <v>0.82799662978694943</v>
      </c>
      <c r="BF113" s="11">
        <f t="shared" si="134"/>
        <v>0.38286826467609447</v>
      </c>
      <c r="BG113" s="11">
        <f t="shared" si="135"/>
        <v>0.52511473891453864</v>
      </c>
      <c r="BI113" s="11">
        <v>0.52511473891453864</v>
      </c>
      <c r="BJ113" s="11">
        <v>0.37824423521116496</v>
      </c>
      <c r="BK113" s="11">
        <v>0.34476649250079017</v>
      </c>
      <c r="BM113" s="11">
        <f t="shared" si="100"/>
        <v>0.44730580229938932</v>
      </c>
      <c r="BN113" s="11">
        <f t="shared" si="99"/>
        <v>0.39590112600320854</v>
      </c>
      <c r="BP113" s="11">
        <f t="shared" si="137"/>
        <v>0.71905495180496248</v>
      </c>
      <c r="BQ113" s="11">
        <f t="shared" si="138"/>
        <v>0.62916536028985426</v>
      </c>
    </row>
    <row r="114" spans="1:69" x14ac:dyDescent="0.35">
      <c r="A114" t="s">
        <v>127</v>
      </c>
      <c r="B114" t="s">
        <v>118</v>
      </c>
      <c r="C114">
        <v>10</v>
      </c>
      <c r="D114" t="s">
        <v>53</v>
      </c>
      <c r="E114" t="s">
        <v>94</v>
      </c>
      <c r="F114">
        <v>1</v>
      </c>
      <c r="G114">
        <v>1.32</v>
      </c>
      <c r="H114">
        <v>1</v>
      </c>
      <c r="I114">
        <f t="shared" si="107"/>
        <v>1.32</v>
      </c>
      <c r="J114">
        <v>0.75</v>
      </c>
      <c r="K114">
        <v>1</v>
      </c>
      <c r="L114">
        <f t="shared" si="108"/>
        <v>0.75</v>
      </c>
      <c r="M114">
        <v>3</v>
      </c>
      <c r="N114" s="1">
        <f t="shared" si="109"/>
        <v>24.81483705480149</v>
      </c>
      <c r="O114" s="1">
        <f t="shared" si="110"/>
        <v>14.250032697803595</v>
      </c>
      <c r="P114" s="1">
        <f t="shared" si="111"/>
        <v>19.532434876302542</v>
      </c>
      <c r="Q114">
        <v>10</v>
      </c>
      <c r="S114">
        <f t="shared" si="112"/>
        <v>1</v>
      </c>
      <c r="T114" s="1">
        <f t="shared" si="113"/>
        <v>0.54937181337064767</v>
      </c>
      <c r="U114" s="1">
        <f t="shared" si="114"/>
        <v>0.58479998094819008</v>
      </c>
      <c r="V114" s="1">
        <f t="shared" si="115"/>
        <v>1</v>
      </c>
      <c r="W114" s="1">
        <f t="shared" si="116"/>
        <v>0.58479998094819008</v>
      </c>
      <c r="X114" s="1">
        <f t="shared" si="117"/>
        <v>0.65384202815608661</v>
      </c>
      <c r="Y114">
        <v>0.9</v>
      </c>
      <c r="Z114" s="1">
        <f t="shared" si="118"/>
        <v>6.5132155989999996</v>
      </c>
      <c r="AA114" s="1">
        <f t="shared" si="119"/>
        <v>0.11673267343282748</v>
      </c>
      <c r="AB114" s="1">
        <f t="shared" si="120"/>
        <v>0.38084230151788057</v>
      </c>
      <c r="AD114" s="1">
        <v>10</v>
      </c>
      <c r="AE114" s="1">
        <v>0.9</v>
      </c>
      <c r="AF114" s="1">
        <f t="shared" si="136"/>
        <v>9</v>
      </c>
      <c r="AG114" s="1">
        <f t="shared" si="98"/>
        <v>0.17647058823529413</v>
      </c>
      <c r="AH114" s="1">
        <v>0.45</v>
      </c>
      <c r="AI114" s="1">
        <v>0.55000000000000004</v>
      </c>
      <c r="AJ114" s="1">
        <v>1</v>
      </c>
      <c r="AK114" s="1"/>
      <c r="AL114" s="1"/>
      <c r="AN114" s="1">
        <f t="shared" si="121"/>
        <v>0.9</v>
      </c>
      <c r="AO114" s="1">
        <f t="shared" si="122"/>
        <v>0.93348979998399428</v>
      </c>
      <c r="AP114" s="1">
        <f t="shared" si="123"/>
        <v>0.93348979998399428</v>
      </c>
      <c r="AQ114" s="1">
        <f t="shared" si="124"/>
        <v>0.45</v>
      </c>
      <c r="AR114" s="1">
        <f t="shared" si="125"/>
        <v>1</v>
      </c>
      <c r="AS114" s="1">
        <f t="shared" si="126"/>
        <v>0.756178595191623</v>
      </c>
      <c r="AT114" s="1">
        <f t="shared" si="127"/>
        <v>0.8671410738167481</v>
      </c>
      <c r="AU114" s="11">
        <f t="shared" si="128"/>
        <v>0.33024400229305673</v>
      </c>
      <c r="AW114" s="1">
        <v>65</v>
      </c>
      <c r="AX114" s="12">
        <v>8</v>
      </c>
      <c r="AZ114" s="11">
        <f t="shared" si="129"/>
        <v>1</v>
      </c>
      <c r="BA114" s="11">
        <f t="shared" si="130"/>
        <v>1</v>
      </c>
      <c r="BB114" s="11">
        <f t="shared" si="131"/>
        <v>1.2269938650306749E-2</v>
      </c>
      <c r="BC114" s="11">
        <f t="shared" si="132"/>
        <v>1.2269938650306749E-2</v>
      </c>
      <c r="BD114" s="11">
        <f t="shared" si="133"/>
        <v>0.82799662978694943</v>
      </c>
      <c r="BF114" s="11">
        <f t="shared" si="134"/>
        <v>0.31331005481381718</v>
      </c>
      <c r="BG114" s="11">
        <f t="shared" si="135"/>
        <v>0.42971367128598148</v>
      </c>
      <c r="BI114" s="11">
        <v>0.42971367128598148</v>
      </c>
      <c r="BJ114" s="11">
        <v>0.37824423521116496</v>
      </c>
      <c r="BK114" s="11">
        <v>0.34476649250079017</v>
      </c>
      <c r="BM114" s="11">
        <f t="shared" si="100"/>
        <v>0.39483521510368286</v>
      </c>
      <c r="BN114" s="11">
        <f t="shared" si="99"/>
        <v>0.37682091247749711</v>
      </c>
      <c r="BP114" s="11">
        <f t="shared" si="137"/>
        <v>0.63470720725696317</v>
      </c>
      <c r="BQ114" s="11">
        <f t="shared" si="138"/>
        <v>0.59884311913206001</v>
      </c>
    </row>
    <row r="115" spans="1:69" x14ac:dyDescent="0.35">
      <c r="A115" t="s">
        <v>127</v>
      </c>
      <c r="B115" t="s">
        <v>118</v>
      </c>
      <c r="C115">
        <v>5</v>
      </c>
      <c r="D115" t="s">
        <v>53</v>
      </c>
      <c r="E115" t="s">
        <v>123</v>
      </c>
      <c r="F115">
        <v>1</v>
      </c>
      <c r="G115">
        <v>1.32</v>
      </c>
      <c r="H115">
        <v>1</v>
      </c>
      <c r="I115">
        <f t="shared" si="107"/>
        <v>1.32</v>
      </c>
      <c r="J115">
        <v>0.75</v>
      </c>
      <c r="K115">
        <v>1</v>
      </c>
      <c r="L115">
        <f t="shared" si="108"/>
        <v>0.75</v>
      </c>
      <c r="M115">
        <v>3</v>
      </c>
      <c r="N115" s="1">
        <f t="shared" si="109"/>
        <v>24.81483705480149</v>
      </c>
      <c r="O115" s="1">
        <f t="shared" si="110"/>
        <v>14.250032697803595</v>
      </c>
      <c r="P115" s="1">
        <f t="shared" si="111"/>
        <v>19.532434876302542</v>
      </c>
      <c r="Q115">
        <v>5</v>
      </c>
      <c r="S115">
        <f t="shared" si="112"/>
        <v>1</v>
      </c>
      <c r="T115" s="1">
        <f t="shared" si="113"/>
        <v>0.54937181337064767</v>
      </c>
      <c r="U115" s="1">
        <f t="shared" si="114"/>
        <v>0.58479998094819008</v>
      </c>
      <c r="V115" s="1">
        <f t="shared" si="115"/>
        <v>1</v>
      </c>
      <c r="W115" s="1">
        <f t="shared" si="116"/>
        <v>0.58479998094819008</v>
      </c>
      <c r="X115" s="1">
        <f t="shared" si="117"/>
        <v>0.65384202815608661</v>
      </c>
      <c r="Y115">
        <v>0.85</v>
      </c>
      <c r="Z115" s="1">
        <f t="shared" si="118"/>
        <v>3.7086312500000003</v>
      </c>
      <c r="AA115" s="1">
        <f t="shared" si="119"/>
        <v>6.646769694764848E-2</v>
      </c>
      <c r="AB115" s="1">
        <f t="shared" si="120"/>
        <v>0.30402721462915222</v>
      </c>
      <c r="AD115" s="1">
        <v>5</v>
      </c>
      <c r="AE115" s="1">
        <v>0.95</v>
      </c>
      <c r="AF115" s="1">
        <f t="shared" si="136"/>
        <v>4.75</v>
      </c>
      <c r="AG115" s="1">
        <f t="shared" si="98"/>
        <v>9.3137254901960786E-2</v>
      </c>
      <c r="AH115" s="1">
        <v>0.45</v>
      </c>
      <c r="AI115" s="1">
        <v>0.55000000000000004</v>
      </c>
      <c r="AJ115" s="1">
        <v>1</v>
      </c>
      <c r="AK115" s="1"/>
      <c r="AL115" s="1"/>
      <c r="AN115" s="1">
        <f t="shared" si="121"/>
        <v>0.95</v>
      </c>
      <c r="AO115" s="1">
        <f t="shared" si="122"/>
        <v>0.94192068251792282</v>
      </c>
      <c r="AP115" s="1">
        <f t="shared" si="123"/>
        <v>0.94192068251792282</v>
      </c>
      <c r="AQ115" s="1">
        <f t="shared" si="124"/>
        <v>0.45</v>
      </c>
      <c r="AR115" s="1">
        <f t="shared" si="125"/>
        <v>1</v>
      </c>
      <c r="AS115" s="1">
        <f t="shared" si="126"/>
        <v>0.756178595191623</v>
      </c>
      <c r="AT115" s="1">
        <f t="shared" si="127"/>
        <v>0.87222363246756807</v>
      </c>
      <c r="AU115" s="11">
        <f t="shared" si="128"/>
        <v>0.26517972151283609</v>
      </c>
      <c r="AW115" s="1">
        <v>65</v>
      </c>
      <c r="AX115" s="12">
        <v>8</v>
      </c>
      <c r="AZ115" s="11">
        <f t="shared" si="129"/>
        <v>1</v>
      </c>
      <c r="BA115" s="11">
        <f t="shared" si="130"/>
        <v>1</v>
      </c>
      <c r="BB115" s="11">
        <f t="shared" si="131"/>
        <v>1.2269938650306749E-2</v>
      </c>
      <c r="BC115" s="11">
        <f t="shared" si="132"/>
        <v>1.2269938650306749E-2</v>
      </c>
      <c r="BD115" s="11">
        <f t="shared" si="133"/>
        <v>0.82799662978694943</v>
      </c>
      <c r="BF115" s="11">
        <f t="shared" si="134"/>
        <v>0.25158208023705947</v>
      </c>
      <c r="BG115" s="11">
        <f t="shared" si="135"/>
        <v>0.34505199455751251</v>
      </c>
      <c r="BI115" s="11">
        <v>0.34505199455751251</v>
      </c>
      <c r="BJ115" s="11">
        <v>0.37824423521116496</v>
      </c>
      <c r="BK115" s="11">
        <v>0.34476649250079017</v>
      </c>
      <c r="BM115" s="11">
        <f t="shared" si="100"/>
        <v>0.34827129290302494</v>
      </c>
      <c r="BN115" s="11">
        <f t="shared" si="99"/>
        <v>0.35988857713180328</v>
      </c>
      <c r="BP115" s="11">
        <f t="shared" si="137"/>
        <v>0.55985457028751462</v>
      </c>
      <c r="BQ115" s="11">
        <f t="shared" si="138"/>
        <v>0.57193428213058162</v>
      </c>
    </row>
    <row r="116" spans="1:69" x14ac:dyDescent="0.35">
      <c r="A116" t="s">
        <v>127</v>
      </c>
      <c r="B116" t="s">
        <v>119</v>
      </c>
      <c r="C116">
        <v>60</v>
      </c>
      <c r="D116" t="s">
        <v>53</v>
      </c>
      <c r="E116" t="s">
        <v>108</v>
      </c>
      <c r="F116">
        <v>1</v>
      </c>
      <c r="G116">
        <v>1.32</v>
      </c>
      <c r="H116">
        <v>1</v>
      </c>
      <c r="I116">
        <f t="shared" si="107"/>
        <v>1.32</v>
      </c>
      <c r="J116">
        <v>0.75</v>
      </c>
      <c r="K116">
        <v>1</v>
      </c>
      <c r="L116">
        <f t="shared" si="108"/>
        <v>0.75</v>
      </c>
      <c r="M116">
        <v>3</v>
      </c>
      <c r="N116" s="1">
        <f t="shared" si="109"/>
        <v>24.81483705480149</v>
      </c>
      <c r="O116" s="1">
        <f t="shared" si="110"/>
        <v>14.250032697803595</v>
      </c>
      <c r="P116" s="1">
        <f t="shared" si="111"/>
        <v>19.532434876302542</v>
      </c>
      <c r="Q116">
        <v>60</v>
      </c>
      <c r="S116">
        <f t="shared" si="112"/>
        <v>1</v>
      </c>
      <c r="T116" s="1">
        <f t="shared" si="113"/>
        <v>0.54937181337064767</v>
      </c>
      <c r="U116" s="1">
        <f t="shared" si="114"/>
        <v>0.58479998094819008</v>
      </c>
      <c r="V116" s="1">
        <f t="shared" si="115"/>
        <v>1</v>
      </c>
      <c r="W116" s="1">
        <f t="shared" si="116"/>
        <v>0.58479998094819008</v>
      </c>
      <c r="X116" s="1">
        <f t="shared" si="117"/>
        <v>0.65384202815608661</v>
      </c>
      <c r="Y116">
        <v>0.98</v>
      </c>
      <c r="Z116" s="1">
        <f t="shared" si="118"/>
        <v>35.122342865393968</v>
      </c>
      <c r="AA116" s="1">
        <f t="shared" si="119"/>
        <v>0.62947785430768022</v>
      </c>
      <c r="AB116" s="1">
        <f t="shared" si="120"/>
        <v>0.74724047970723984</v>
      </c>
      <c r="AD116" s="1">
        <v>60</v>
      </c>
      <c r="AE116" s="1">
        <v>0.7</v>
      </c>
      <c r="AF116" s="1">
        <f t="shared" si="136"/>
        <v>42</v>
      </c>
      <c r="AG116" s="1">
        <f t="shared" si="98"/>
        <v>0.82352941176470584</v>
      </c>
      <c r="AH116" s="1">
        <v>0.5</v>
      </c>
      <c r="AI116" s="1">
        <v>0.65</v>
      </c>
      <c r="AJ116" s="1">
        <v>1</v>
      </c>
      <c r="AK116" s="1"/>
      <c r="AL116" s="1"/>
      <c r="AN116" s="1">
        <f t="shared" si="121"/>
        <v>0.7</v>
      </c>
      <c r="AO116" s="1">
        <f t="shared" si="122"/>
        <v>0.89816772466687844</v>
      </c>
      <c r="AP116" s="1">
        <f t="shared" si="123"/>
        <v>0.89816772466687844</v>
      </c>
      <c r="AQ116" s="1">
        <f t="shared" si="124"/>
        <v>0.5</v>
      </c>
      <c r="AR116" s="1">
        <f t="shared" si="125"/>
        <v>1</v>
      </c>
      <c r="AS116" s="1">
        <f t="shared" si="126"/>
        <v>0.78458409789675077</v>
      </c>
      <c r="AT116" s="1">
        <f t="shared" si="127"/>
        <v>0.85665541539453194</v>
      </c>
      <c r="AU116" s="11">
        <f t="shared" si="128"/>
        <v>0.64012760354321485</v>
      </c>
      <c r="AW116" s="1">
        <v>65</v>
      </c>
      <c r="AX116" s="12">
        <v>6</v>
      </c>
      <c r="AZ116" s="11">
        <f t="shared" si="129"/>
        <v>1</v>
      </c>
      <c r="BA116" s="11">
        <f t="shared" si="130"/>
        <v>1</v>
      </c>
      <c r="BB116" s="11">
        <f t="shared" si="131"/>
        <v>6.1349693251533744E-3</v>
      </c>
      <c r="BC116" s="11">
        <f t="shared" si="132"/>
        <v>6.1349693251533744E-3</v>
      </c>
      <c r="BD116" s="11">
        <f t="shared" si="133"/>
        <v>0.86964582113622901</v>
      </c>
      <c r="BF116" s="11">
        <f t="shared" si="134"/>
        <v>0.61455240426796376</v>
      </c>
      <c r="BG116" s="11">
        <f t="shared" si="135"/>
        <v>0.84287614067330985</v>
      </c>
      <c r="BI116" s="11">
        <v>0.84287614067330985</v>
      </c>
      <c r="BJ116" s="11">
        <v>0.37824423521116496</v>
      </c>
      <c r="BK116" s="11">
        <v>0.34476649250079017</v>
      </c>
      <c r="BM116" s="11">
        <f t="shared" si="100"/>
        <v>0.62207457326671356</v>
      </c>
      <c r="BN116" s="11">
        <f t="shared" si="99"/>
        <v>0.45945340635496279</v>
      </c>
      <c r="BP116" s="11">
        <f t="shared" si="137"/>
        <v>1</v>
      </c>
      <c r="BQ116" s="11">
        <f t="shared" si="138"/>
        <v>0.73016253038739332</v>
      </c>
    </row>
    <row r="117" spans="1:69" x14ac:dyDescent="0.35">
      <c r="A117" t="s">
        <v>127</v>
      </c>
      <c r="B117" t="s">
        <v>119</v>
      </c>
      <c r="C117">
        <v>45</v>
      </c>
      <c r="D117" t="s">
        <v>53</v>
      </c>
      <c r="E117" t="s">
        <v>109</v>
      </c>
      <c r="F117">
        <v>1</v>
      </c>
      <c r="G117">
        <v>1.32</v>
      </c>
      <c r="H117">
        <v>1</v>
      </c>
      <c r="I117">
        <f t="shared" si="107"/>
        <v>1.32</v>
      </c>
      <c r="J117">
        <v>0.75</v>
      </c>
      <c r="K117">
        <v>1</v>
      </c>
      <c r="L117">
        <f t="shared" si="108"/>
        <v>0.75</v>
      </c>
      <c r="M117">
        <v>3</v>
      </c>
      <c r="N117" s="1">
        <f t="shared" si="109"/>
        <v>24.81483705480149</v>
      </c>
      <c r="O117" s="1">
        <f t="shared" si="110"/>
        <v>14.250032697803595</v>
      </c>
      <c r="P117" s="1">
        <f t="shared" si="111"/>
        <v>19.532434876302542</v>
      </c>
      <c r="Q117">
        <v>45</v>
      </c>
      <c r="S117">
        <f t="shared" si="112"/>
        <v>1</v>
      </c>
      <c r="T117" s="1">
        <f t="shared" si="113"/>
        <v>0.54937181337064767</v>
      </c>
      <c r="U117" s="1">
        <f t="shared" si="114"/>
        <v>0.58479998094819008</v>
      </c>
      <c r="V117" s="1">
        <f t="shared" si="115"/>
        <v>1</v>
      </c>
      <c r="W117" s="1">
        <f t="shared" si="116"/>
        <v>0.58479998094819008</v>
      </c>
      <c r="X117" s="1">
        <f t="shared" si="117"/>
        <v>0.65384202815608661</v>
      </c>
      <c r="Y117">
        <v>0.98</v>
      </c>
      <c r="Z117" s="1">
        <f t="shared" si="118"/>
        <v>29.856106786328724</v>
      </c>
      <c r="AA117" s="1">
        <f t="shared" si="119"/>
        <v>0.5350940883945603</v>
      </c>
      <c r="AB117" s="1">
        <f t="shared" si="120"/>
        <v>0.70022928433423037</v>
      </c>
      <c r="AD117" s="1">
        <v>45</v>
      </c>
      <c r="AE117" s="1">
        <v>0.75</v>
      </c>
      <c r="AF117" s="1">
        <f t="shared" si="136"/>
        <v>33.75</v>
      </c>
      <c r="AG117" s="1">
        <f t="shared" si="98"/>
        <v>0.66176470588235292</v>
      </c>
      <c r="AH117" s="1">
        <v>0.5</v>
      </c>
      <c r="AI117" s="1">
        <v>0.65</v>
      </c>
      <c r="AJ117" s="1">
        <v>1</v>
      </c>
      <c r="AK117" s="1"/>
      <c r="AL117" s="1"/>
      <c r="AN117" s="1">
        <f t="shared" si="121"/>
        <v>0.75</v>
      </c>
      <c r="AO117" s="1">
        <f t="shared" si="122"/>
        <v>0.90932662287224841</v>
      </c>
      <c r="AP117" s="1">
        <f t="shared" si="123"/>
        <v>0.90932662287224841</v>
      </c>
      <c r="AQ117" s="1">
        <f t="shared" si="124"/>
        <v>0.5</v>
      </c>
      <c r="AR117" s="1">
        <f t="shared" si="125"/>
        <v>1</v>
      </c>
      <c r="AS117" s="1">
        <f t="shared" si="126"/>
        <v>0.78458409789675077</v>
      </c>
      <c r="AT117" s="1">
        <f t="shared" si="127"/>
        <v>0.86355850273553814</v>
      </c>
      <c r="AU117" s="11">
        <f t="shared" si="128"/>
        <v>0.60468895235124542</v>
      </c>
      <c r="AW117" s="1">
        <v>65</v>
      </c>
      <c r="AX117" s="12">
        <v>6</v>
      </c>
      <c r="AZ117" s="11">
        <f t="shared" si="129"/>
        <v>1</v>
      </c>
      <c r="BA117" s="11">
        <f t="shared" si="130"/>
        <v>1</v>
      </c>
      <c r="BB117" s="11">
        <f t="shared" si="131"/>
        <v>6.1349693251533744E-3</v>
      </c>
      <c r="BC117" s="11">
        <f t="shared" si="132"/>
        <v>6.1349693251533744E-3</v>
      </c>
      <c r="BD117" s="11">
        <f t="shared" si="133"/>
        <v>0.86964582113622901</v>
      </c>
      <c r="BF117" s="11">
        <f t="shared" si="134"/>
        <v>0.58052964353480896</v>
      </c>
      <c r="BG117" s="11">
        <f t="shared" si="135"/>
        <v>0.79621295448665397</v>
      </c>
      <c r="BI117" s="11">
        <v>0.79621295448665397</v>
      </c>
      <c r="BJ117" s="11">
        <v>0.37824423521116496</v>
      </c>
      <c r="BK117" s="11">
        <v>0.34476649250079017</v>
      </c>
      <c r="BM117" s="11">
        <f t="shared" si="100"/>
        <v>0.5964098208640527</v>
      </c>
      <c r="BN117" s="11">
        <f t="shared" si="99"/>
        <v>0.4501207691176316</v>
      </c>
      <c r="BP117" s="11">
        <f t="shared" si="137"/>
        <v>0.95874328656789976</v>
      </c>
      <c r="BQ117" s="11">
        <f t="shared" si="138"/>
        <v>0.71533112000683186</v>
      </c>
    </row>
    <row r="118" spans="1:69" x14ac:dyDescent="0.35">
      <c r="A118" t="s">
        <v>127</v>
      </c>
      <c r="B118" t="s">
        <v>119</v>
      </c>
      <c r="C118">
        <v>30</v>
      </c>
      <c r="D118" t="s">
        <v>53</v>
      </c>
      <c r="E118" t="s">
        <v>91</v>
      </c>
      <c r="F118">
        <v>1</v>
      </c>
      <c r="G118">
        <v>1.32</v>
      </c>
      <c r="H118">
        <v>1</v>
      </c>
      <c r="I118">
        <f t="shared" si="107"/>
        <v>1.32</v>
      </c>
      <c r="J118">
        <v>0.75</v>
      </c>
      <c r="K118">
        <v>1</v>
      </c>
      <c r="L118">
        <f t="shared" si="108"/>
        <v>0.75</v>
      </c>
      <c r="M118">
        <v>3</v>
      </c>
      <c r="N118" s="1">
        <f t="shared" si="109"/>
        <v>24.81483705480149</v>
      </c>
      <c r="O118" s="1">
        <f t="shared" si="110"/>
        <v>14.250032697803595</v>
      </c>
      <c r="P118" s="1">
        <f t="shared" si="111"/>
        <v>19.532434876302542</v>
      </c>
      <c r="Q118">
        <v>30</v>
      </c>
      <c r="S118">
        <f t="shared" si="112"/>
        <v>1</v>
      </c>
      <c r="T118" s="1">
        <f t="shared" si="113"/>
        <v>0.54937181337064767</v>
      </c>
      <c r="U118" s="1">
        <f t="shared" si="114"/>
        <v>0.58479998094819008</v>
      </c>
      <c r="V118" s="1">
        <f t="shared" si="115"/>
        <v>1</v>
      </c>
      <c r="W118" s="1">
        <f t="shared" si="116"/>
        <v>0.58479998094819008</v>
      </c>
      <c r="X118" s="1">
        <f t="shared" si="117"/>
        <v>0.65384202815608661</v>
      </c>
      <c r="Y118">
        <v>0.98</v>
      </c>
      <c r="Z118" s="1">
        <f t="shared" si="118"/>
        <v>22.725784030878145</v>
      </c>
      <c r="AA118" s="1">
        <f t="shared" si="119"/>
        <v>0.40730135298895459</v>
      </c>
      <c r="AB118" s="1">
        <f t="shared" si="120"/>
        <v>0.62781913664917888</v>
      </c>
      <c r="AD118" s="1">
        <v>30</v>
      </c>
      <c r="AE118" s="1">
        <v>0.8</v>
      </c>
      <c r="AF118" s="1">
        <f t="shared" si="136"/>
        <v>24</v>
      </c>
      <c r="AG118" s="1">
        <f t="shared" si="98"/>
        <v>0.47058823529411764</v>
      </c>
      <c r="AH118" s="1">
        <v>0.5</v>
      </c>
      <c r="AI118" s="1">
        <v>0.65</v>
      </c>
      <c r="AJ118" s="1">
        <v>1</v>
      </c>
      <c r="AK118" s="1"/>
      <c r="AL118" s="1"/>
      <c r="AN118" s="1">
        <f t="shared" si="121"/>
        <v>0.8</v>
      </c>
      <c r="AO118" s="1">
        <f t="shared" si="122"/>
        <v>0.918403174696378</v>
      </c>
      <c r="AP118" s="1">
        <f t="shared" si="123"/>
        <v>0.918403174696378</v>
      </c>
      <c r="AQ118" s="1">
        <f t="shared" si="124"/>
        <v>0.5</v>
      </c>
      <c r="AR118" s="1">
        <f t="shared" si="125"/>
        <v>1</v>
      </c>
      <c r="AS118" s="1">
        <f t="shared" si="126"/>
        <v>0.78458409789675077</v>
      </c>
      <c r="AT118" s="1">
        <f t="shared" si="127"/>
        <v>0.86915157226841544</v>
      </c>
      <c r="AU118" s="11">
        <f t="shared" si="128"/>
        <v>0.54566998971883296</v>
      </c>
      <c r="AW118" s="1">
        <v>65</v>
      </c>
      <c r="AX118" s="12">
        <v>6</v>
      </c>
      <c r="AZ118" s="11">
        <f t="shared" si="129"/>
        <v>1</v>
      </c>
      <c r="BA118" s="11">
        <f t="shared" si="130"/>
        <v>1</v>
      </c>
      <c r="BB118" s="11">
        <f t="shared" si="131"/>
        <v>6.1349693251533744E-3</v>
      </c>
      <c r="BC118" s="11">
        <f t="shared" si="132"/>
        <v>6.1349693251533744E-3</v>
      </c>
      <c r="BD118" s="11">
        <f t="shared" si="133"/>
        <v>0.86964582113622901</v>
      </c>
      <c r="BF118" s="11">
        <f t="shared" si="134"/>
        <v>0.52386868221649019</v>
      </c>
      <c r="BG118" s="11">
        <f t="shared" si="135"/>
        <v>0.71850083088067396</v>
      </c>
      <c r="BI118" s="11">
        <v>0.71850083088067396</v>
      </c>
      <c r="BJ118" s="11">
        <v>0.37824423521116496</v>
      </c>
      <c r="BK118" s="11">
        <v>0.34476649250079017</v>
      </c>
      <c r="BM118" s="11">
        <f t="shared" si="100"/>
        <v>0.55366815288076376</v>
      </c>
      <c r="BN118" s="11">
        <f t="shared" si="99"/>
        <v>0.43457834439643561</v>
      </c>
      <c r="BP118" s="11">
        <f t="shared" si="137"/>
        <v>0.89003501617703862</v>
      </c>
      <c r="BQ118" s="11">
        <f t="shared" si="138"/>
        <v>0.69063112648014013</v>
      </c>
    </row>
    <row r="119" spans="1:69" x14ac:dyDescent="0.35">
      <c r="A119" t="s">
        <v>127</v>
      </c>
      <c r="B119" t="s">
        <v>119</v>
      </c>
      <c r="C119">
        <v>25</v>
      </c>
      <c r="D119" t="s">
        <v>53</v>
      </c>
      <c r="E119" t="s">
        <v>92</v>
      </c>
      <c r="F119">
        <v>1</v>
      </c>
      <c r="G119">
        <v>1.32</v>
      </c>
      <c r="H119">
        <v>1</v>
      </c>
      <c r="I119">
        <f t="shared" si="107"/>
        <v>1.32</v>
      </c>
      <c r="J119">
        <v>0.75</v>
      </c>
      <c r="K119">
        <v>1</v>
      </c>
      <c r="L119">
        <f t="shared" si="108"/>
        <v>0.75</v>
      </c>
      <c r="M119">
        <v>3</v>
      </c>
      <c r="N119" s="1">
        <f t="shared" si="109"/>
        <v>24.81483705480149</v>
      </c>
      <c r="O119" s="1">
        <f t="shared" si="110"/>
        <v>14.250032697803595</v>
      </c>
      <c r="P119" s="1">
        <f t="shared" si="111"/>
        <v>19.532434876302542</v>
      </c>
      <c r="Q119">
        <v>25</v>
      </c>
      <c r="S119">
        <f t="shared" si="112"/>
        <v>1</v>
      </c>
      <c r="T119" s="1">
        <f t="shared" si="113"/>
        <v>0.54937181337064767</v>
      </c>
      <c r="U119" s="1">
        <f t="shared" si="114"/>
        <v>0.58479998094819008</v>
      </c>
      <c r="V119" s="1">
        <f t="shared" si="115"/>
        <v>1</v>
      </c>
      <c r="W119" s="1">
        <f t="shared" si="116"/>
        <v>0.58479998094819008</v>
      </c>
      <c r="X119" s="1">
        <f t="shared" si="117"/>
        <v>0.65384202815608661</v>
      </c>
      <c r="Y119">
        <v>0.97</v>
      </c>
      <c r="Z119" s="1">
        <f t="shared" si="118"/>
        <v>17.767509824854258</v>
      </c>
      <c r="AA119" s="1">
        <f t="shared" si="119"/>
        <v>0.31843701326541424</v>
      </c>
      <c r="AB119" s="1">
        <f t="shared" si="120"/>
        <v>0.5689546156728138</v>
      </c>
      <c r="AD119" s="1">
        <v>25</v>
      </c>
      <c r="AE119" s="1">
        <v>0.8</v>
      </c>
      <c r="AF119" s="1">
        <f t="shared" si="136"/>
        <v>20</v>
      </c>
      <c r="AG119" s="1">
        <f t="shared" si="98"/>
        <v>0.39215686274509803</v>
      </c>
      <c r="AH119" s="1">
        <v>0.5</v>
      </c>
      <c r="AI119" s="1">
        <v>0.65</v>
      </c>
      <c r="AJ119" s="1">
        <v>1</v>
      </c>
      <c r="AK119" s="1"/>
      <c r="AL119" s="1"/>
      <c r="AN119" s="1">
        <f t="shared" si="121"/>
        <v>0.8</v>
      </c>
      <c r="AO119" s="1">
        <f t="shared" si="122"/>
        <v>0.91725768149546261</v>
      </c>
      <c r="AP119" s="1">
        <f t="shared" si="123"/>
        <v>0.91725768149546261</v>
      </c>
      <c r="AQ119" s="1">
        <f t="shared" si="124"/>
        <v>0.5</v>
      </c>
      <c r="AR119" s="1">
        <f t="shared" si="125"/>
        <v>1</v>
      </c>
      <c r="AS119" s="1">
        <f t="shared" si="126"/>
        <v>0.78458409789675077</v>
      </c>
      <c r="AT119" s="1">
        <f t="shared" si="127"/>
        <v>0.86844677720535934</v>
      </c>
      <c r="AU119" s="11">
        <f t="shared" si="128"/>
        <v>0.49410680235716897</v>
      </c>
      <c r="AW119" s="1">
        <v>65</v>
      </c>
      <c r="AX119" s="12">
        <v>6</v>
      </c>
      <c r="AZ119" s="11">
        <f t="shared" si="129"/>
        <v>1</v>
      </c>
      <c r="BA119" s="11">
        <f t="shared" si="130"/>
        <v>1</v>
      </c>
      <c r="BB119" s="11">
        <f t="shared" si="131"/>
        <v>6.1349693251533744E-3</v>
      </c>
      <c r="BC119" s="11">
        <f t="shared" si="132"/>
        <v>6.1349693251533744E-3</v>
      </c>
      <c r="BD119" s="11">
        <f t="shared" si="133"/>
        <v>0.86964582113622901</v>
      </c>
      <c r="BF119" s="11">
        <f t="shared" si="134"/>
        <v>0.47436561346983708</v>
      </c>
      <c r="BG119" s="11">
        <f t="shared" si="135"/>
        <v>0.65060596097716095</v>
      </c>
      <c r="BI119" s="11">
        <v>0.65060596097716095</v>
      </c>
      <c r="BJ119" s="11">
        <v>0.37824423521116496</v>
      </c>
      <c r="BK119" s="11">
        <v>0.34476649250079017</v>
      </c>
      <c r="BM119" s="11">
        <f t="shared" si="100"/>
        <v>0.51632597443383155</v>
      </c>
      <c r="BN119" s="11">
        <f t="shared" si="99"/>
        <v>0.42099937041573299</v>
      </c>
      <c r="BP119" s="11">
        <f t="shared" si="137"/>
        <v>0.83000655648476018</v>
      </c>
      <c r="BQ119" s="11">
        <f t="shared" si="138"/>
        <v>0.66905144535322636</v>
      </c>
    </row>
    <row r="120" spans="1:69" x14ac:dyDescent="0.35">
      <c r="A120" t="s">
        <v>127</v>
      </c>
      <c r="B120" t="s">
        <v>119</v>
      </c>
      <c r="C120">
        <v>20</v>
      </c>
      <c r="D120" t="s">
        <v>53</v>
      </c>
      <c r="E120" t="s">
        <v>55</v>
      </c>
      <c r="F120">
        <v>1</v>
      </c>
      <c r="G120">
        <v>1.32</v>
      </c>
      <c r="H120">
        <v>1</v>
      </c>
      <c r="I120">
        <f t="shared" si="107"/>
        <v>1.32</v>
      </c>
      <c r="J120">
        <v>0.75</v>
      </c>
      <c r="K120">
        <v>1</v>
      </c>
      <c r="L120">
        <f t="shared" si="108"/>
        <v>0.75</v>
      </c>
      <c r="M120">
        <v>3</v>
      </c>
      <c r="N120" s="1">
        <f t="shared" si="109"/>
        <v>24.81483705480149</v>
      </c>
      <c r="O120" s="1">
        <f t="shared" si="110"/>
        <v>14.250032697803595</v>
      </c>
      <c r="P120" s="1">
        <f t="shared" si="111"/>
        <v>19.532434876302542</v>
      </c>
      <c r="Q120">
        <v>20</v>
      </c>
      <c r="S120">
        <f t="shared" si="112"/>
        <v>1</v>
      </c>
      <c r="T120" s="1">
        <f t="shared" si="113"/>
        <v>0.54937181337064767</v>
      </c>
      <c r="U120" s="1">
        <f t="shared" si="114"/>
        <v>0.58479998094819008</v>
      </c>
      <c r="V120" s="1">
        <f t="shared" si="115"/>
        <v>1</v>
      </c>
      <c r="W120" s="1">
        <f t="shared" si="116"/>
        <v>0.58479998094819008</v>
      </c>
      <c r="X120" s="1">
        <f t="shared" si="117"/>
        <v>0.65384202815608661</v>
      </c>
      <c r="Y120">
        <v>0.96</v>
      </c>
      <c r="Z120" s="1">
        <f t="shared" si="118"/>
        <v>13.949939153014794</v>
      </c>
      <c r="AA120" s="1">
        <f t="shared" si="119"/>
        <v>0.25001685677451041</v>
      </c>
      <c r="AB120" s="1">
        <f t="shared" si="120"/>
        <v>0.51648287311216878</v>
      </c>
      <c r="AD120" s="1">
        <v>20</v>
      </c>
      <c r="AE120" s="1">
        <v>0.8</v>
      </c>
      <c r="AF120" s="1">
        <f t="shared" si="136"/>
        <v>16</v>
      </c>
      <c r="AG120" s="1">
        <f t="shared" si="98"/>
        <v>0.31372549019607843</v>
      </c>
      <c r="AH120" s="1">
        <v>0.5</v>
      </c>
      <c r="AI120" s="1">
        <v>0.65</v>
      </c>
      <c r="AJ120" s="1">
        <v>1</v>
      </c>
      <c r="AK120" s="1"/>
      <c r="AL120" s="1"/>
      <c r="AN120" s="1">
        <f t="shared" si="121"/>
        <v>0.8</v>
      </c>
      <c r="AO120" s="1">
        <f t="shared" si="122"/>
        <v>0.91610261414013872</v>
      </c>
      <c r="AP120" s="1">
        <f t="shared" si="123"/>
        <v>0.91610261414013872</v>
      </c>
      <c r="AQ120" s="1">
        <f t="shared" si="124"/>
        <v>0.5</v>
      </c>
      <c r="AR120" s="1">
        <f t="shared" si="125"/>
        <v>1</v>
      </c>
      <c r="AS120" s="1">
        <f t="shared" si="126"/>
        <v>0.78458409789675077</v>
      </c>
      <c r="AT120" s="1">
        <f t="shared" si="127"/>
        <v>0.86773577938959534</v>
      </c>
      <c r="AU120" s="11">
        <f t="shared" si="128"/>
        <v>0.44817066844136527</v>
      </c>
      <c r="AW120" s="1">
        <v>65</v>
      </c>
      <c r="AX120" s="12">
        <v>6</v>
      </c>
      <c r="AZ120" s="11">
        <f t="shared" si="129"/>
        <v>1</v>
      </c>
      <c r="BA120" s="11">
        <f t="shared" si="130"/>
        <v>1</v>
      </c>
      <c r="BB120" s="11">
        <f t="shared" si="131"/>
        <v>6.1349693251533744E-3</v>
      </c>
      <c r="BC120" s="11">
        <f t="shared" si="132"/>
        <v>6.1349693251533744E-3</v>
      </c>
      <c r="BD120" s="11">
        <f t="shared" si="133"/>
        <v>0.86964582113622901</v>
      </c>
      <c r="BF120" s="11">
        <f t="shared" si="134"/>
        <v>0.43026477891048737</v>
      </c>
      <c r="BG120" s="11">
        <f t="shared" si="135"/>
        <v>0.59012040925576725</v>
      </c>
      <c r="BI120" s="11">
        <v>0.59012040925576725</v>
      </c>
      <c r="BJ120" s="11">
        <v>0.37824423521116496</v>
      </c>
      <c r="BK120" s="11">
        <v>0.34476649250079017</v>
      </c>
      <c r="BM120" s="11">
        <f t="shared" si="100"/>
        <v>0.48305892098706504</v>
      </c>
      <c r="BN120" s="11">
        <f t="shared" si="99"/>
        <v>0.40890226007145425</v>
      </c>
      <c r="BP120" s="11">
        <f t="shared" si="137"/>
        <v>0.77652895930204535</v>
      </c>
      <c r="BQ120" s="11">
        <f t="shared" si="138"/>
        <v>0.64982673926294221</v>
      </c>
    </row>
    <row r="121" spans="1:69" x14ac:dyDescent="0.35">
      <c r="A121" t="s">
        <v>127</v>
      </c>
      <c r="B121" t="s">
        <v>119</v>
      </c>
      <c r="C121">
        <v>15</v>
      </c>
      <c r="D121" t="s">
        <v>53</v>
      </c>
      <c r="E121" t="s">
        <v>93</v>
      </c>
      <c r="F121">
        <v>1</v>
      </c>
      <c r="G121">
        <v>1.32</v>
      </c>
      <c r="H121">
        <v>1</v>
      </c>
      <c r="I121">
        <f t="shared" si="107"/>
        <v>1.32</v>
      </c>
      <c r="J121">
        <v>0.75</v>
      </c>
      <c r="K121">
        <v>1</v>
      </c>
      <c r="L121">
        <f t="shared" si="108"/>
        <v>0.75</v>
      </c>
      <c r="M121">
        <v>3</v>
      </c>
      <c r="N121" s="1">
        <f t="shared" si="109"/>
        <v>24.81483705480149</v>
      </c>
      <c r="O121" s="1">
        <f t="shared" si="110"/>
        <v>14.250032697803595</v>
      </c>
      <c r="P121" s="1">
        <f t="shared" si="111"/>
        <v>19.532434876302542</v>
      </c>
      <c r="Q121">
        <v>15</v>
      </c>
      <c r="S121">
        <f t="shared" si="112"/>
        <v>1</v>
      </c>
      <c r="T121" s="1">
        <f t="shared" si="113"/>
        <v>0.54937181337064767</v>
      </c>
      <c r="U121" s="1">
        <f t="shared" si="114"/>
        <v>0.58479998094819008</v>
      </c>
      <c r="V121" s="1">
        <f t="shared" si="115"/>
        <v>1</v>
      </c>
      <c r="W121" s="1">
        <f t="shared" si="116"/>
        <v>0.58479998094819008</v>
      </c>
      <c r="X121" s="1">
        <f t="shared" si="117"/>
        <v>0.65384202815608661</v>
      </c>
      <c r="Y121">
        <v>0.95</v>
      </c>
      <c r="Z121" s="1">
        <f t="shared" si="118"/>
        <v>10.734175396804924</v>
      </c>
      <c r="AA121" s="1">
        <f t="shared" si="119"/>
        <v>0.19238254470776356</v>
      </c>
      <c r="AB121" s="1">
        <f t="shared" si="120"/>
        <v>0.46508729329309451</v>
      </c>
      <c r="AD121" s="1">
        <v>15</v>
      </c>
      <c r="AE121" s="1">
        <v>0.9</v>
      </c>
      <c r="AF121" s="1">
        <f t="shared" si="136"/>
        <v>13.5</v>
      </c>
      <c r="AG121" s="1">
        <f t="shared" si="98"/>
        <v>0.26470588235294118</v>
      </c>
      <c r="AH121" s="1">
        <v>0.5</v>
      </c>
      <c r="AI121" s="1">
        <v>0.65</v>
      </c>
      <c r="AJ121" s="1">
        <v>1</v>
      </c>
      <c r="AK121" s="1"/>
      <c r="AL121" s="1"/>
      <c r="AN121" s="1">
        <f t="shared" si="121"/>
        <v>0.9</v>
      </c>
      <c r="AO121" s="1">
        <f t="shared" si="122"/>
        <v>0.93443518555010896</v>
      </c>
      <c r="AP121" s="1">
        <f t="shared" si="123"/>
        <v>0.93443518555010896</v>
      </c>
      <c r="AQ121" s="1">
        <f t="shared" si="124"/>
        <v>0.5</v>
      </c>
      <c r="AR121" s="1">
        <f t="shared" si="125"/>
        <v>1</v>
      </c>
      <c r="AS121" s="1">
        <f t="shared" si="126"/>
        <v>0.78458409789675077</v>
      </c>
      <c r="AT121" s="1">
        <f t="shared" si="127"/>
        <v>0.87898364545772745</v>
      </c>
      <c r="AU121" s="11">
        <f t="shared" si="128"/>
        <v>0.4088041245148315</v>
      </c>
      <c r="AW121" s="1">
        <v>65</v>
      </c>
      <c r="AX121" s="12">
        <v>6</v>
      </c>
      <c r="AZ121" s="11">
        <f t="shared" si="129"/>
        <v>1</v>
      </c>
      <c r="BA121" s="11">
        <f t="shared" si="130"/>
        <v>1</v>
      </c>
      <c r="BB121" s="11">
        <f t="shared" si="131"/>
        <v>6.1349693251533744E-3</v>
      </c>
      <c r="BC121" s="11">
        <f t="shared" si="132"/>
        <v>6.1349693251533744E-3</v>
      </c>
      <c r="BD121" s="11">
        <f t="shared" si="133"/>
        <v>0.86964582113622901</v>
      </c>
      <c r="BF121" s="11">
        <f t="shared" si="134"/>
        <v>0.39247105765263118</v>
      </c>
      <c r="BG121" s="11">
        <f t="shared" si="135"/>
        <v>0.53828524321577775</v>
      </c>
      <c r="BI121" s="11">
        <v>0.53828524321577775</v>
      </c>
      <c r="BJ121" s="11">
        <v>0.37824423521116496</v>
      </c>
      <c r="BK121" s="11">
        <v>0.34476649250079017</v>
      </c>
      <c r="BM121" s="11">
        <f t="shared" si="100"/>
        <v>0.45454957966507081</v>
      </c>
      <c r="BN121" s="11">
        <f t="shared" si="99"/>
        <v>0.39853522686345633</v>
      </c>
      <c r="BP121" s="11">
        <f t="shared" si="137"/>
        <v>0.7306995000263149</v>
      </c>
      <c r="BQ121" s="11">
        <f t="shared" si="138"/>
        <v>0.63335146865864989</v>
      </c>
    </row>
    <row r="122" spans="1:69" x14ac:dyDescent="0.35">
      <c r="A122" t="s">
        <v>127</v>
      </c>
      <c r="B122" t="s">
        <v>119</v>
      </c>
      <c r="C122">
        <v>10</v>
      </c>
      <c r="D122" t="s">
        <v>53</v>
      </c>
      <c r="E122" t="s">
        <v>94</v>
      </c>
      <c r="F122">
        <v>1</v>
      </c>
      <c r="G122">
        <v>1.32</v>
      </c>
      <c r="H122">
        <v>1</v>
      </c>
      <c r="I122">
        <f t="shared" si="107"/>
        <v>1.32</v>
      </c>
      <c r="J122">
        <v>0.75</v>
      </c>
      <c r="K122">
        <v>1</v>
      </c>
      <c r="L122">
        <f t="shared" si="108"/>
        <v>0.75</v>
      </c>
      <c r="M122">
        <v>3</v>
      </c>
      <c r="N122" s="1">
        <f t="shared" si="109"/>
        <v>24.81483705480149</v>
      </c>
      <c r="O122" s="1">
        <f t="shared" si="110"/>
        <v>14.250032697803595</v>
      </c>
      <c r="P122" s="1">
        <f t="shared" si="111"/>
        <v>19.532434876302542</v>
      </c>
      <c r="Q122">
        <v>10</v>
      </c>
      <c r="S122">
        <f t="shared" si="112"/>
        <v>1</v>
      </c>
      <c r="T122" s="1">
        <f t="shared" si="113"/>
        <v>0.54937181337064767</v>
      </c>
      <c r="U122" s="1">
        <f t="shared" si="114"/>
        <v>0.58479998094819008</v>
      </c>
      <c r="V122" s="1">
        <f t="shared" si="115"/>
        <v>1</v>
      </c>
      <c r="W122" s="1">
        <f t="shared" si="116"/>
        <v>0.58479998094819008</v>
      </c>
      <c r="X122" s="1">
        <f t="shared" si="117"/>
        <v>0.65384202815608661</v>
      </c>
      <c r="Y122">
        <v>0.9</v>
      </c>
      <c r="Z122" s="1">
        <f t="shared" si="118"/>
        <v>6.5132155989999996</v>
      </c>
      <c r="AA122" s="1">
        <f t="shared" si="119"/>
        <v>0.11673267343282748</v>
      </c>
      <c r="AB122" s="1">
        <f t="shared" si="120"/>
        <v>0.38084230151788057</v>
      </c>
      <c r="AD122" s="1">
        <v>10</v>
      </c>
      <c r="AE122" s="1">
        <v>0.9</v>
      </c>
      <c r="AF122" s="1">
        <f t="shared" si="136"/>
        <v>9</v>
      </c>
      <c r="AG122" s="1">
        <f t="shared" si="98"/>
        <v>0.17647058823529413</v>
      </c>
      <c r="AH122" s="1">
        <v>0.5</v>
      </c>
      <c r="AI122" s="1">
        <v>0.65</v>
      </c>
      <c r="AJ122" s="1">
        <v>1</v>
      </c>
      <c r="AK122" s="1"/>
      <c r="AL122" s="1"/>
      <c r="AN122" s="1">
        <f t="shared" si="121"/>
        <v>0.9</v>
      </c>
      <c r="AO122" s="1">
        <f t="shared" si="122"/>
        <v>0.93348979998399428</v>
      </c>
      <c r="AP122" s="1">
        <f t="shared" si="123"/>
        <v>0.93348979998399428</v>
      </c>
      <c r="AQ122" s="1">
        <f t="shared" si="124"/>
        <v>0.5</v>
      </c>
      <c r="AR122" s="1">
        <f t="shared" si="125"/>
        <v>1</v>
      </c>
      <c r="AS122" s="1">
        <f t="shared" si="126"/>
        <v>0.78458409789675077</v>
      </c>
      <c r="AT122" s="1">
        <f t="shared" si="127"/>
        <v>0.87840550833624698</v>
      </c>
      <c r="AU122" s="11">
        <f t="shared" si="128"/>
        <v>0.33453397546076014</v>
      </c>
      <c r="AW122" s="1">
        <v>65</v>
      </c>
      <c r="AX122" s="12">
        <v>6</v>
      </c>
      <c r="AZ122" s="11">
        <f t="shared" si="129"/>
        <v>1</v>
      </c>
      <c r="BA122" s="11">
        <f t="shared" si="130"/>
        <v>1</v>
      </c>
      <c r="BB122" s="11">
        <f t="shared" si="131"/>
        <v>6.1349693251533744E-3</v>
      </c>
      <c r="BC122" s="11">
        <f t="shared" si="132"/>
        <v>6.1349693251533744E-3</v>
      </c>
      <c r="BD122" s="11">
        <f t="shared" si="133"/>
        <v>0.86964582113622901</v>
      </c>
      <c r="BF122" s="11">
        <f t="shared" si="134"/>
        <v>0.32116824487924289</v>
      </c>
      <c r="BG122" s="11">
        <f t="shared" si="135"/>
        <v>0.4404914029635803</v>
      </c>
      <c r="BI122" s="11">
        <v>0.4404914029635803</v>
      </c>
      <c r="BJ122" s="11">
        <v>0.37824423521116496</v>
      </c>
      <c r="BK122" s="11">
        <v>0.34476649250079017</v>
      </c>
      <c r="BM122" s="11">
        <f t="shared" si="100"/>
        <v>0.40076296752636226</v>
      </c>
      <c r="BN122" s="11">
        <f t="shared" si="99"/>
        <v>0.37897645881301689</v>
      </c>
      <c r="BP122" s="11">
        <f t="shared" si="137"/>
        <v>0.64423621338809445</v>
      </c>
      <c r="BQ122" s="11">
        <f t="shared" si="138"/>
        <v>0.60226870950736444</v>
      </c>
    </row>
    <row r="123" spans="1:69" x14ac:dyDescent="0.35">
      <c r="A123" t="s">
        <v>127</v>
      </c>
      <c r="B123" t="s">
        <v>119</v>
      </c>
      <c r="C123">
        <v>5</v>
      </c>
      <c r="D123" t="s">
        <v>53</v>
      </c>
      <c r="E123" t="s">
        <v>123</v>
      </c>
      <c r="F123">
        <v>1</v>
      </c>
      <c r="G123">
        <v>1.32</v>
      </c>
      <c r="H123">
        <v>1</v>
      </c>
      <c r="I123">
        <f t="shared" si="107"/>
        <v>1.32</v>
      </c>
      <c r="J123">
        <v>0.75</v>
      </c>
      <c r="K123">
        <v>1</v>
      </c>
      <c r="L123">
        <f t="shared" si="108"/>
        <v>0.75</v>
      </c>
      <c r="M123">
        <v>3</v>
      </c>
      <c r="N123" s="1">
        <f t="shared" si="109"/>
        <v>24.81483705480149</v>
      </c>
      <c r="O123" s="1">
        <f t="shared" si="110"/>
        <v>14.250032697803595</v>
      </c>
      <c r="P123" s="1">
        <f t="shared" si="111"/>
        <v>19.532434876302542</v>
      </c>
      <c r="Q123">
        <v>5</v>
      </c>
      <c r="S123">
        <f t="shared" si="112"/>
        <v>1</v>
      </c>
      <c r="T123" s="1">
        <f t="shared" si="113"/>
        <v>0.54937181337064767</v>
      </c>
      <c r="U123" s="1">
        <f t="shared" si="114"/>
        <v>0.58479998094819008</v>
      </c>
      <c r="V123" s="1">
        <f t="shared" si="115"/>
        <v>1</v>
      </c>
      <c r="W123" s="1">
        <f t="shared" si="116"/>
        <v>0.58479998094819008</v>
      </c>
      <c r="X123" s="1">
        <f t="shared" si="117"/>
        <v>0.65384202815608661</v>
      </c>
      <c r="Y123">
        <v>0.85</v>
      </c>
      <c r="Z123" s="1">
        <f t="shared" si="118"/>
        <v>3.7086312500000003</v>
      </c>
      <c r="AA123" s="1">
        <f t="shared" si="119"/>
        <v>6.646769694764848E-2</v>
      </c>
      <c r="AB123" s="1">
        <f t="shared" si="120"/>
        <v>0.30402721462915222</v>
      </c>
      <c r="AD123" s="1">
        <v>5</v>
      </c>
      <c r="AE123" s="1">
        <v>0.95</v>
      </c>
      <c r="AF123" s="1">
        <f t="shared" si="136"/>
        <v>4.75</v>
      </c>
      <c r="AG123" s="1">
        <f t="shared" si="98"/>
        <v>9.3137254901960786E-2</v>
      </c>
      <c r="AH123" s="1">
        <v>0.5</v>
      </c>
      <c r="AI123" s="1">
        <v>0.65</v>
      </c>
      <c r="AJ123" s="1">
        <v>1</v>
      </c>
      <c r="AK123" s="1"/>
      <c r="AL123" s="1"/>
      <c r="AN123" s="1">
        <f t="shared" si="121"/>
        <v>0.95</v>
      </c>
      <c r="AO123" s="1">
        <f t="shared" si="122"/>
        <v>0.94192068251792282</v>
      </c>
      <c r="AP123" s="1">
        <f t="shared" si="123"/>
        <v>0.94192068251792282</v>
      </c>
      <c r="AQ123" s="1">
        <f t="shared" si="124"/>
        <v>0.5</v>
      </c>
      <c r="AR123" s="1">
        <f t="shared" si="125"/>
        <v>1</v>
      </c>
      <c r="AS123" s="1">
        <f t="shared" si="126"/>
        <v>0.78458409789675077</v>
      </c>
      <c r="AT123" s="1">
        <f t="shared" si="127"/>
        <v>0.88355409101803772</v>
      </c>
      <c r="AU123" s="11">
        <f t="shared" si="128"/>
        <v>0.26862448926640647</v>
      </c>
      <c r="AW123" s="1">
        <v>65</v>
      </c>
      <c r="AX123" s="12">
        <v>6</v>
      </c>
      <c r="AZ123" s="11">
        <f t="shared" si="129"/>
        <v>1</v>
      </c>
      <c r="BA123" s="11">
        <f t="shared" si="130"/>
        <v>1</v>
      </c>
      <c r="BB123" s="11">
        <f t="shared" si="131"/>
        <v>6.1349693251533744E-3</v>
      </c>
      <c r="BC123" s="11">
        <f t="shared" si="132"/>
        <v>6.1349693251533744E-3</v>
      </c>
      <c r="BD123" s="11">
        <f t="shared" si="133"/>
        <v>0.86964582113622901</v>
      </c>
      <c r="BF123" s="11">
        <f t="shared" si="134"/>
        <v>0.25789205903659979</v>
      </c>
      <c r="BG123" s="11">
        <f t="shared" si="135"/>
        <v>0.35370631035117084</v>
      </c>
      <c r="BI123" s="11">
        <v>0.35370631035117084</v>
      </c>
      <c r="BJ123" s="11">
        <v>0.37824423521116496</v>
      </c>
      <c r="BK123" s="11">
        <v>0.34476649250079017</v>
      </c>
      <c r="BM123" s="11">
        <f t="shared" si="100"/>
        <v>0.35303116658953704</v>
      </c>
      <c r="BN123" s="11">
        <f t="shared" si="99"/>
        <v>0.36161944029053494</v>
      </c>
      <c r="BP123" s="11">
        <f t="shared" si="137"/>
        <v>0.56750618295754618</v>
      </c>
      <c r="BQ123" s="11">
        <f t="shared" si="138"/>
        <v>0.5746849667620445</v>
      </c>
    </row>
    <row r="124" spans="1:69" x14ac:dyDescent="0.35">
      <c r="A124" t="s">
        <v>129</v>
      </c>
      <c r="B124" t="s">
        <v>60</v>
      </c>
      <c r="D124" t="s">
        <v>52</v>
      </c>
      <c r="E124" t="s">
        <v>52</v>
      </c>
      <c r="F124">
        <v>0.5</v>
      </c>
      <c r="G124">
        <v>0.38</v>
      </c>
      <c r="H124">
        <v>0.9</v>
      </c>
      <c r="I124">
        <f t="shared" si="107"/>
        <v>0.34200000000000003</v>
      </c>
      <c r="J124">
        <v>0.22</v>
      </c>
      <c r="K124">
        <v>0.8</v>
      </c>
      <c r="L124">
        <f t="shared" si="108"/>
        <v>0.17600000000000002</v>
      </c>
      <c r="M124">
        <v>0.4</v>
      </c>
      <c r="N124" s="1">
        <f t="shared" si="109"/>
        <v>46.293415683765879</v>
      </c>
      <c r="O124" s="1">
        <f t="shared" si="110"/>
        <v>24.81483705480149</v>
      </c>
      <c r="P124" s="1">
        <f t="shared" si="111"/>
        <v>35.554126369283686</v>
      </c>
      <c r="Q124">
        <v>4</v>
      </c>
      <c r="S124">
        <f t="shared" si="112"/>
        <v>0.5</v>
      </c>
      <c r="T124" s="1">
        <f t="shared" si="113"/>
        <v>1</v>
      </c>
      <c r="U124" s="1">
        <f t="shared" si="114"/>
        <v>0.79810348195079261</v>
      </c>
      <c r="V124" s="1">
        <f t="shared" si="115"/>
        <v>1</v>
      </c>
      <c r="W124" s="1">
        <f t="shared" si="116"/>
        <v>0.79810348195079261</v>
      </c>
      <c r="X124" s="1">
        <f t="shared" si="117"/>
        <v>0.89232834527635241</v>
      </c>
      <c r="Y124">
        <v>0.8</v>
      </c>
      <c r="Z124" s="1">
        <f t="shared" si="118"/>
        <v>2.9519999999999995</v>
      </c>
      <c r="AA124" s="1">
        <f t="shared" si="119"/>
        <v>5.2907023686827391E-2</v>
      </c>
      <c r="AB124" s="1">
        <f t="shared" si="120"/>
        <v>0.23532930164647964</v>
      </c>
      <c r="AD124" s="1"/>
      <c r="AE124" s="1"/>
      <c r="AF124" s="1">
        <v>1.86</v>
      </c>
      <c r="AG124" s="1">
        <f t="shared" si="98"/>
        <v>3.6470588235294123E-2</v>
      </c>
      <c r="AH124" s="1">
        <v>1</v>
      </c>
      <c r="AI124" s="10">
        <v>1</v>
      </c>
      <c r="AJ124" s="1">
        <v>1</v>
      </c>
      <c r="AK124" s="1"/>
      <c r="AL124" s="1"/>
      <c r="AN124" s="1">
        <f t="shared" si="121"/>
        <v>0.46500000000000002</v>
      </c>
      <c r="AO124" s="1">
        <f t="shared" si="122"/>
        <v>0.65723221345354976</v>
      </c>
      <c r="AP124" s="1">
        <f t="shared" si="123"/>
        <v>0.65723221345354976</v>
      </c>
      <c r="AQ124" s="1">
        <f t="shared" si="124"/>
        <v>1</v>
      </c>
      <c r="AR124" s="1">
        <f t="shared" si="125"/>
        <v>1</v>
      </c>
      <c r="AS124" s="1">
        <f t="shared" si="126"/>
        <v>1</v>
      </c>
      <c r="AT124" s="1">
        <f t="shared" si="127"/>
        <v>0.76123236918347714</v>
      </c>
      <c r="AU124" s="11">
        <f t="shared" si="128"/>
        <v>0.17914028183064284</v>
      </c>
      <c r="AW124" s="1">
        <v>44</v>
      </c>
      <c r="AX124" s="12">
        <v>180</v>
      </c>
      <c r="AZ124" s="11">
        <f t="shared" si="129"/>
        <v>0.67692307692307696</v>
      </c>
      <c r="BA124" s="11">
        <f t="shared" si="130"/>
        <v>0.67692307692307696</v>
      </c>
      <c r="BB124" s="11">
        <f t="shared" si="131"/>
        <v>0.53987730061349692</v>
      </c>
      <c r="BC124" s="11">
        <f t="shared" si="132"/>
        <v>0.53987730061349692</v>
      </c>
      <c r="BD124" s="11">
        <f t="shared" si="133"/>
        <v>0.21851971340991272</v>
      </c>
      <c r="BF124" s="11">
        <f t="shared" si="134"/>
        <v>0.13293259986459199</v>
      </c>
      <c r="BG124" s="11">
        <f t="shared" si="135"/>
        <v>0.18232085004533033</v>
      </c>
      <c r="BI124" s="11">
        <v>0.18232085004533033</v>
      </c>
      <c r="BJ124" s="11">
        <v>0.45548287133119392</v>
      </c>
      <c r="BK124" s="11">
        <v>0.2177258872223978</v>
      </c>
      <c r="BM124" s="11">
        <f t="shared" si="100"/>
        <v>0.22202881518589029</v>
      </c>
      <c r="BN124" s="11">
        <f t="shared" si="99"/>
        <v>0.31763552263594258</v>
      </c>
      <c r="BP124" s="11">
        <f t="shared" si="137"/>
        <v>0.3569167182319406</v>
      </c>
      <c r="BQ124" s="11">
        <f t="shared" si="138"/>
        <v>0.50478580361117575</v>
      </c>
    </row>
    <row r="125" spans="1:69" x14ac:dyDescent="0.35">
      <c r="A125" t="s">
        <v>129</v>
      </c>
      <c r="B125" t="s">
        <v>63</v>
      </c>
      <c r="D125" t="s">
        <v>52</v>
      </c>
      <c r="E125" t="s">
        <v>52</v>
      </c>
      <c r="F125">
        <v>0.5</v>
      </c>
      <c r="G125">
        <v>0.38</v>
      </c>
      <c r="H125">
        <v>0.2</v>
      </c>
      <c r="I125">
        <f t="shared" si="107"/>
        <v>7.6000000000000012E-2</v>
      </c>
      <c r="J125">
        <v>0.22</v>
      </c>
      <c r="K125">
        <v>0.4</v>
      </c>
      <c r="L125">
        <f t="shared" si="108"/>
        <v>8.8000000000000009E-2</v>
      </c>
      <c r="M125">
        <v>0.4</v>
      </c>
      <c r="N125" s="1">
        <f t="shared" si="109"/>
        <v>10.853624997145642</v>
      </c>
      <c r="O125" s="1">
        <f t="shared" si="110"/>
        <v>12.554596979195109</v>
      </c>
      <c r="P125" s="1">
        <f t="shared" si="111"/>
        <v>11.704110988170376</v>
      </c>
      <c r="Q125">
        <v>3</v>
      </c>
      <c r="S125">
        <f t="shared" si="112"/>
        <v>0.5</v>
      </c>
      <c r="T125" s="1">
        <f t="shared" si="113"/>
        <v>0.3291913536731399</v>
      </c>
      <c r="U125" s="1">
        <f t="shared" si="114"/>
        <v>0.40945306663775261</v>
      </c>
      <c r="V125" s="1">
        <f t="shared" si="115"/>
        <v>1</v>
      </c>
      <c r="W125" s="1">
        <f t="shared" si="116"/>
        <v>0.40945306663775261</v>
      </c>
      <c r="X125" s="1">
        <f t="shared" si="117"/>
        <v>0.45779348879437748</v>
      </c>
      <c r="Y125">
        <v>0.8</v>
      </c>
      <c r="Z125" s="1">
        <f t="shared" si="118"/>
        <v>2.44</v>
      </c>
      <c r="AA125" s="1">
        <f t="shared" si="119"/>
        <v>4.3730737735724542E-2</v>
      </c>
      <c r="AB125" s="1">
        <f t="shared" si="120"/>
        <v>0.18455321956411003</v>
      </c>
      <c r="AD125" s="1"/>
      <c r="AE125" s="1"/>
      <c r="AF125" s="1">
        <v>1.72</v>
      </c>
      <c r="AG125" s="1">
        <f t="shared" si="98"/>
        <v>3.3725490196078428E-2</v>
      </c>
      <c r="AH125" s="1">
        <v>1</v>
      </c>
      <c r="AI125" s="10">
        <v>0.23</v>
      </c>
      <c r="AJ125" s="1">
        <v>7</v>
      </c>
      <c r="AK125" s="1"/>
      <c r="AL125" s="1"/>
      <c r="AN125" s="1">
        <f t="shared" si="121"/>
        <v>0.57333333333333336</v>
      </c>
      <c r="AO125" s="1">
        <f t="shared" si="122"/>
        <v>0.73290444124410159</v>
      </c>
      <c r="AP125" s="1">
        <f t="shared" si="123"/>
        <v>0.73290444124410159</v>
      </c>
      <c r="AQ125" s="1">
        <f t="shared" si="124"/>
        <v>1</v>
      </c>
      <c r="AR125" s="1">
        <f t="shared" si="125"/>
        <v>0.72727272727272729</v>
      </c>
      <c r="AS125" s="1">
        <f t="shared" si="126"/>
        <v>0.81302377588816965</v>
      </c>
      <c r="AT125" s="1">
        <f t="shared" si="127"/>
        <v>0.76000581623570818</v>
      </c>
      <c r="AU125" s="11">
        <f t="shared" si="128"/>
        <v>0.1402615202737493</v>
      </c>
      <c r="AW125" s="1">
        <v>44</v>
      </c>
      <c r="AX125" s="12">
        <v>180</v>
      </c>
      <c r="AZ125" s="11">
        <f t="shared" si="129"/>
        <v>0.67692307692307696</v>
      </c>
      <c r="BA125" s="11">
        <f t="shared" si="130"/>
        <v>0.67692307692307696</v>
      </c>
      <c r="BB125" s="11">
        <f t="shared" si="131"/>
        <v>0.53987730061349692</v>
      </c>
      <c r="BC125" s="11">
        <f t="shared" si="132"/>
        <v>0.53987730061349692</v>
      </c>
      <c r="BD125" s="11">
        <f t="shared" si="133"/>
        <v>0.21851971340991272</v>
      </c>
      <c r="BF125" s="11">
        <f t="shared" si="134"/>
        <v>0.1040822776452744</v>
      </c>
      <c r="BG125" s="11">
        <f t="shared" si="135"/>
        <v>0.14275181072415832</v>
      </c>
      <c r="BI125" s="11">
        <v>0.14275181072415832</v>
      </c>
      <c r="BJ125" s="11">
        <v>0.45548287133119392</v>
      </c>
      <c r="BK125" s="11">
        <v>0.2177258872223978</v>
      </c>
      <c r="BM125" s="11">
        <f t="shared" si="100"/>
        <v>0.2002658435592457</v>
      </c>
      <c r="BN125" s="11">
        <f t="shared" si="99"/>
        <v>0.30972171477170818</v>
      </c>
      <c r="BP125" s="11">
        <f t="shared" si="137"/>
        <v>0.32193221225485136</v>
      </c>
      <c r="BQ125" s="11">
        <f t="shared" si="138"/>
        <v>0.49220919432887389</v>
      </c>
    </row>
    <row r="126" spans="1:69" x14ac:dyDescent="0.35">
      <c r="A126" t="s">
        <v>130</v>
      </c>
      <c r="B126" t="s">
        <v>57</v>
      </c>
      <c r="D126" t="s">
        <v>52</v>
      </c>
      <c r="E126" t="s">
        <v>52</v>
      </c>
      <c r="F126">
        <v>0.5</v>
      </c>
      <c r="G126">
        <v>7.0000000000000007E-2</v>
      </c>
      <c r="H126">
        <v>0.9</v>
      </c>
      <c r="I126">
        <f t="shared" si="107"/>
        <v>6.3000000000000014E-2</v>
      </c>
      <c r="J126">
        <v>0.14000000000000001</v>
      </c>
      <c r="K126">
        <v>0.15</v>
      </c>
      <c r="L126">
        <f t="shared" si="108"/>
        <v>2.1000000000000001E-2</v>
      </c>
      <c r="M126">
        <v>0.35</v>
      </c>
      <c r="N126" s="1">
        <f t="shared" si="109"/>
        <v>10.285529115768487</v>
      </c>
      <c r="O126" s="1">
        <f t="shared" si="110"/>
        <v>3.4367160033109148</v>
      </c>
      <c r="P126" s="1">
        <f t="shared" si="111"/>
        <v>6.8611225595397007</v>
      </c>
      <c r="Q126">
        <v>2.5</v>
      </c>
      <c r="S126">
        <f t="shared" si="112"/>
        <v>0.5</v>
      </c>
      <c r="T126" s="1">
        <f t="shared" si="113"/>
        <v>0.19297682885740197</v>
      </c>
      <c r="U126" s="1">
        <f t="shared" si="114"/>
        <v>0.2656451542561582</v>
      </c>
      <c r="V126" s="1">
        <f t="shared" si="115"/>
        <v>1</v>
      </c>
      <c r="W126" s="1">
        <f t="shared" si="116"/>
        <v>0.2656451542561582</v>
      </c>
      <c r="X126" s="1">
        <f t="shared" si="117"/>
        <v>0.29700747620932444</v>
      </c>
      <c r="Y126">
        <v>0.9</v>
      </c>
      <c r="Z126" s="1">
        <f t="shared" si="118"/>
        <v>2.3156652857908382</v>
      </c>
      <c r="AA126" s="1">
        <f t="shared" si="119"/>
        <v>4.1502357088787203E-2</v>
      </c>
      <c r="AB126" s="1">
        <f t="shared" si="120"/>
        <v>0.16220358622827868</v>
      </c>
      <c r="AD126" s="1"/>
      <c r="AE126" s="1"/>
      <c r="AF126" s="1">
        <v>1.1599999999999999</v>
      </c>
      <c r="AG126" s="1">
        <f t="shared" si="98"/>
        <v>2.2745098039215685E-2</v>
      </c>
      <c r="AH126" s="1">
        <v>1</v>
      </c>
      <c r="AI126" s="1">
        <v>0.18</v>
      </c>
      <c r="AJ126" s="1">
        <v>1</v>
      </c>
      <c r="AK126" s="1"/>
      <c r="AL126" s="1"/>
      <c r="AN126" s="1">
        <f t="shared" si="121"/>
        <v>0.46399999999999997</v>
      </c>
      <c r="AO126" s="1">
        <f t="shared" si="122"/>
        <v>0.6564420521001253</v>
      </c>
      <c r="AP126" s="1">
        <f t="shared" si="123"/>
        <v>0.6564420521001253</v>
      </c>
      <c r="AQ126" s="1">
        <f t="shared" si="124"/>
        <v>1</v>
      </c>
      <c r="AR126" s="1">
        <f t="shared" si="125"/>
        <v>1</v>
      </c>
      <c r="AS126" s="1">
        <f t="shared" si="126"/>
        <v>1</v>
      </c>
      <c r="AT126" s="1">
        <f t="shared" si="127"/>
        <v>0.76063736645147428</v>
      </c>
      <c r="AU126" s="11">
        <f t="shared" si="128"/>
        <v>0.12337810865766252</v>
      </c>
      <c r="AW126" s="1">
        <v>43</v>
      </c>
      <c r="AX126" s="12">
        <v>5</v>
      </c>
      <c r="AZ126" s="11">
        <f t="shared" si="129"/>
        <v>0.66153846153846152</v>
      </c>
      <c r="BA126" s="11">
        <f t="shared" si="130"/>
        <v>0.66153846153846152</v>
      </c>
      <c r="BB126" s="11">
        <f t="shared" si="131"/>
        <v>3.0674846625766872E-3</v>
      </c>
      <c r="BC126" s="11">
        <f t="shared" si="132"/>
        <v>3.0674846625766872E-3</v>
      </c>
      <c r="BD126" s="11">
        <f t="shared" si="133"/>
        <v>0.90121000579116139</v>
      </c>
      <c r="BF126" s="11">
        <f t="shared" si="134"/>
        <v>0.1104611309366078</v>
      </c>
      <c r="BG126" s="11">
        <f t="shared" si="135"/>
        <v>0.15150058984662348</v>
      </c>
      <c r="BI126" s="11">
        <v>0.15150058984662348</v>
      </c>
      <c r="BJ126" s="11">
        <v>0.52682840327913238</v>
      </c>
      <c r="BK126" s="11">
        <v>0.18850742938847137</v>
      </c>
      <c r="BM126" s="11">
        <f t="shared" si="100"/>
        <v>0.20198576502952115</v>
      </c>
      <c r="BN126" s="11">
        <f t="shared" si="99"/>
        <v>0.33335049973089925</v>
      </c>
      <c r="BP126" s="11">
        <f t="shared" si="137"/>
        <v>0.32469702783193494</v>
      </c>
      <c r="BQ126" s="11">
        <f t="shared" si="138"/>
        <v>0.52976001706116504</v>
      </c>
    </row>
    <row r="127" spans="1:69" x14ac:dyDescent="0.35">
      <c r="A127" t="s">
        <v>130</v>
      </c>
      <c r="B127" t="s">
        <v>131</v>
      </c>
      <c r="D127" t="s">
        <v>52</v>
      </c>
      <c r="E127" t="s">
        <v>52</v>
      </c>
      <c r="F127">
        <v>0.5</v>
      </c>
      <c r="G127">
        <v>7.0000000000000007E-2</v>
      </c>
      <c r="H127">
        <v>0.9</v>
      </c>
      <c r="I127">
        <f t="shared" si="107"/>
        <v>6.3000000000000014E-2</v>
      </c>
      <c r="J127">
        <v>0.14000000000000001</v>
      </c>
      <c r="K127">
        <v>0.25</v>
      </c>
      <c r="L127">
        <f t="shared" si="108"/>
        <v>3.5000000000000003E-2</v>
      </c>
      <c r="M127">
        <v>0.35</v>
      </c>
      <c r="N127" s="1">
        <f t="shared" si="109"/>
        <v>10.285529115768487</v>
      </c>
      <c r="O127" s="1">
        <f t="shared" si="110"/>
        <v>5.7248104522234966</v>
      </c>
      <c r="P127" s="1">
        <f t="shared" si="111"/>
        <v>8.0051697839959921</v>
      </c>
      <c r="Q127">
        <v>2.5</v>
      </c>
      <c r="S127">
        <f t="shared" si="112"/>
        <v>0.5</v>
      </c>
      <c r="T127" s="1">
        <f t="shared" si="113"/>
        <v>0.22515445045253332</v>
      </c>
      <c r="U127" s="1">
        <f t="shared" si="114"/>
        <v>0.30249606286406727</v>
      </c>
      <c r="V127" s="1">
        <f t="shared" si="115"/>
        <v>1</v>
      </c>
      <c r="W127" s="1">
        <f t="shared" si="116"/>
        <v>0.30249606286406727</v>
      </c>
      <c r="X127" s="1">
        <f t="shared" si="117"/>
        <v>0.33820903846745404</v>
      </c>
      <c r="Y127">
        <v>0.9</v>
      </c>
      <c r="Z127" s="1">
        <f t="shared" si="118"/>
        <v>2.3156652857908382</v>
      </c>
      <c r="AA127" s="1">
        <f t="shared" si="119"/>
        <v>4.1502357088787203E-2</v>
      </c>
      <c r="AB127" s="1">
        <f>POWER(PRODUCT(POWER(S127,$S$129),POWER(X127,$X$129),POWER(AA127,$AA$129)),1/SUM($S$129,$X$129,$AA$129))</f>
        <v>0.16755790013061156</v>
      </c>
      <c r="AD127" s="1"/>
      <c r="AE127" s="1"/>
      <c r="AF127" s="1">
        <v>1.25</v>
      </c>
      <c r="AG127" s="1">
        <f t="shared" si="98"/>
        <v>2.4509803921568627E-2</v>
      </c>
      <c r="AH127" s="1">
        <v>1</v>
      </c>
      <c r="AI127" s="1">
        <v>0.21</v>
      </c>
      <c r="AJ127" s="1">
        <v>1</v>
      </c>
      <c r="AK127" s="1"/>
      <c r="AL127" s="1"/>
      <c r="AN127" s="1">
        <f t="shared" si="121"/>
        <v>0.5</v>
      </c>
      <c r="AO127" s="1">
        <f t="shared" si="122"/>
        <v>0.68377223398316211</v>
      </c>
      <c r="AP127" s="1">
        <f t="shared" si="123"/>
        <v>0.68377223398316211</v>
      </c>
      <c r="AQ127" s="1">
        <f t="shared" si="124"/>
        <v>1</v>
      </c>
      <c r="AR127" s="1">
        <f t="shared" si="125"/>
        <v>1</v>
      </c>
      <c r="AS127" s="1">
        <f t="shared" si="126"/>
        <v>1</v>
      </c>
      <c r="AT127" s="1">
        <f t="shared" si="127"/>
        <v>0.78107448275688895</v>
      </c>
      <c r="AU127" s="11">
        <f t="shared" si="128"/>
        <v>0.13087520017634788</v>
      </c>
      <c r="AW127" s="1">
        <v>43</v>
      </c>
      <c r="AX127" s="12">
        <v>5</v>
      </c>
      <c r="AZ127" s="11">
        <f t="shared" si="129"/>
        <v>0.66153846153846152</v>
      </c>
      <c r="BA127" s="11">
        <f t="shared" si="130"/>
        <v>0.66153846153846152</v>
      </c>
      <c r="BB127" s="11">
        <f t="shared" si="131"/>
        <v>3.0674846625766872E-3</v>
      </c>
      <c r="BC127" s="11">
        <f t="shared" si="132"/>
        <v>3.0674846625766872E-3</v>
      </c>
      <c r="BD127" s="11">
        <f t="shared" si="133"/>
        <v>0.90121000579116139</v>
      </c>
      <c r="BF127" s="11">
        <f t="shared" si="134"/>
        <v>0.11717332013207576</v>
      </c>
      <c r="BG127" s="11">
        <f t="shared" si="135"/>
        <v>0.16070654866356804</v>
      </c>
      <c r="BI127" s="11">
        <v>0.16070654866356804</v>
      </c>
      <c r="BJ127" s="11">
        <v>0.52682840327913238</v>
      </c>
      <c r="BK127" s="11">
        <v>0.16662710276302378</v>
      </c>
      <c r="BM127" s="11">
        <f t="shared" si="100"/>
        <v>0.199390928059934</v>
      </c>
      <c r="BN127" s="11">
        <f t="shared" si="99"/>
        <v>0.32753357717538151</v>
      </c>
      <c r="BP127" s="11">
        <f t="shared" si="137"/>
        <v>0.32052576431932933</v>
      </c>
      <c r="BQ127" s="11">
        <f t="shared" si="138"/>
        <v>0.52051577415544814</v>
      </c>
    </row>
    <row r="128" spans="1:69" x14ac:dyDescent="0.35">
      <c r="F128" s="1"/>
      <c r="N128" s="1"/>
      <c r="O128" s="1"/>
      <c r="P128" s="1"/>
    </row>
    <row r="129" spans="6:69" x14ac:dyDescent="0.35">
      <c r="N129" s="1"/>
      <c r="O129" s="1"/>
      <c r="P129" s="1"/>
      <c r="S129">
        <v>0.35</v>
      </c>
      <c r="X129">
        <v>0.25</v>
      </c>
      <c r="AA129">
        <v>0.4</v>
      </c>
      <c r="AP129">
        <v>0.65</v>
      </c>
      <c r="AQ129">
        <v>0.35</v>
      </c>
      <c r="AR129">
        <v>0.65</v>
      </c>
      <c r="AS129">
        <v>0.35</v>
      </c>
    </row>
    <row r="130" spans="6:69" x14ac:dyDescent="0.35">
      <c r="N130" s="1"/>
      <c r="O130" s="1"/>
      <c r="P130" s="1"/>
    </row>
    <row r="131" spans="6:69" x14ac:dyDescent="0.35">
      <c r="F131" s="4">
        <f>MAX(F2:F127)</f>
        <v>1</v>
      </c>
      <c r="G131" s="4">
        <f t="shared" ref="G131:Q131" si="139">MAX(G2:G127)</f>
        <v>60</v>
      </c>
      <c r="H131" s="4">
        <f t="shared" si="139"/>
        <v>1</v>
      </c>
      <c r="I131" s="4">
        <f t="shared" si="139"/>
        <v>60</v>
      </c>
      <c r="J131" s="4">
        <f t="shared" si="139"/>
        <v>30</v>
      </c>
      <c r="K131" s="4">
        <f t="shared" si="139"/>
        <v>1</v>
      </c>
      <c r="L131" s="4">
        <f t="shared" si="139"/>
        <v>30</v>
      </c>
      <c r="M131" s="4">
        <f t="shared" si="139"/>
        <v>80</v>
      </c>
      <c r="N131" s="4">
        <f t="shared" si="139"/>
        <v>53.13010235415598</v>
      </c>
      <c r="O131" s="4">
        <f t="shared" si="139"/>
        <v>40</v>
      </c>
      <c r="P131" s="4">
        <f t="shared" si="139"/>
        <v>40.601294645004472</v>
      </c>
      <c r="Q131" s="4">
        <f t="shared" si="139"/>
        <v>120</v>
      </c>
      <c r="R131" s="4"/>
      <c r="S131" s="4">
        <f>MAX(S2:S127)</f>
        <v>1</v>
      </c>
      <c r="T131" s="4">
        <f t="shared" ref="T131:AA131" si="140">MAX(T2:T127)</f>
        <v>1</v>
      </c>
      <c r="U131" s="4">
        <f t="shared" si="140"/>
        <v>0.79810348195079261</v>
      </c>
      <c r="V131" s="4">
        <f t="shared" si="140"/>
        <v>1.1206637167737867</v>
      </c>
      <c r="W131" s="4">
        <f t="shared" si="140"/>
        <v>0.89440561445307609</v>
      </c>
      <c r="X131" s="4">
        <f t="shared" si="140"/>
        <v>1</v>
      </c>
      <c r="Y131" s="4">
        <f t="shared" si="140"/>
        <v>0.98499999999999999</v>
      </c>
      <c r="Z131" s="4">
        <f t="shared" si="140"/>
        <v>55.795994450071063</v>
      </c>
      <c r="AA131" s="4">
        <f t="shared" si="140"/>
        <v>1</v>
      </c>
      <c r="AB131" s="11"/>
      <c r="AC131" s="4"/>
      <c r="AD131" s="4">
        <f>MAX(AD2:AD127)</f>
        <v>120</v>
      </c>
      <c r="AE131" s="4">
        <f t="shared" ref="AE131:AL131" si="141">MAX(AE2:AE127)</f>
        <v>1</v>
      </c>
      <c r="AF131" s="4">
        <f t="shared" si="141"/>
        <v>51</v>
      </c>
      <c r="AG131" s="4"/>
      <c r="AH131" s="4">
        <f t="shared" si="141"/>
        <v>1</v>
      </c>
      <c r="AI131" s="4">
        <f t="shared" si="141"/>
        <v>1</v>
      </c>
      <c r="AJ131" s="4">
        <f t="shared" si="141"/>
        <v>7</v>
      </c>
      <c r="AK131" s="4">
        <f t="shared" si="141"/>
        <v>0</v>
      </c>
      <c r="AL131" s="4">
        <f t="shared" si="141"/>
        <v>0</v>
      </c>
      <c r="AM131" s="4"/>
      <c r="AN131" s="4">
        <f>MAX(AN2:AN127)</f>
        <v>1</v>
      </c>
      <c r="AO131" s="4">
        <f>MAX(AO2:AO127)</f>
        <v>0.9472269571013856</v>
      </c>
      <c r="AP131" s="4">
        <f t="shared" ref="AP131:AS131" si="142">MAX(AP2:AP126)</f>
        <v>0.9472269571013856</v>
      </c>
      <c r="AQ131" s="4">
        <f t="shared" si="142"/>
        <v>1</v>
      </c>
      <c r="AR131" s="4">
        <f t="shared" si="142"/>
        <v>1</v>
      </c>
      <c r="AS131" s="4">
        <f t="shared" si="142"/>
        <v>1</v>
      </c>
      <c r="AT131" s="4">
        <f>MAX(AT2:AT127)</f>
        <v>0.94833808639889539</v>
      </c>
      <c r="AU131" s="4">
        <f>MAX(AU2:AU127)</f>
        <v>0.74261767846489024</v>
      </c>
      <c r="AV131" s="4"/>
      <c r="AW131" s="4">
        <f>MAX(AW2:AW127)</f>
        <v>65</v>
      </c>
      <c r="AX131" s="4">
        <f t="shared" ref="AX131:BF131" si="143">MAX(AX2:AX127)</f>
        <v>360</v>
      </c>
      <c r="AY131" s="4"/>
      <c r="AZ131" s="4">
        <f t="shared" si="143"/>
        <v>1</v>
      </c>
      <c r="BA131" s="4">
        <f t="shared" si="143"/>
        <v>1</v>
      </c>
      <c r="BB131" s="4">
        <f t="shared" ref="BB131:BD131" si="144">MAX(BB2:BB127)</f>
        <v>1.0920245398773005</v>
      </c>
      <c r="BC131" s="4">
        <f t="shared" si="144"/>
        <v>1</v>
      </c>
      <c r="BD131" s="4">
        <f t="shared" si="144"/>
        <v>1</v>
      </c>
      <c r="BE131" s="4"/>
      <c r="BF131" s="4">
        <f t="shared" si="143"/>
        <v>0.72911353710527915</v>
      </c>
      <c r="BG131" s="4">
        <f t="shared" ref="BG131:BN131" si="145">MAX(BG2:BG127)</f>
        <v>1</v>
      </c>
      <c r="BH131" s="4"/>
      <c r="BI131" s="4">
        <f t="shared" si="145"/>
        <v>1</v>
      </c>
      <c r="BJ131" s="4">
        <f t="shared" si="145"/>
        <v>1</v>
      </c>
      <c r="BK131" s="4">
        <f t="shared" si="145"/>
        <v>1</v>
      </c>
      <c r="BL131" s="4"/>
      <c r="BM131" s="4">
        <f t="shared" si="145"/>
        <v>0.62207457326671356</v>
      </c>
      <c r="BN131" s="4">
        <f t="shared" si="145"/>
        <v>0.62924812933251484</v>
      </c>
      <c r="BO131" s="4"/>
      <c r="BP131" s="4"/>
      <c r="BQ131" s="4"/>
    </row>
    <row r="132" spans="6:69" x14ac:dyDescent="0.35">
      <c r="F132" s="4">
        <f>MIN(F2:F127)</f>
        <v>0.4</v>
      </c>
      <c r="G132" s="4">
        <f t="shared" ref="G132:Q132" si="146">MIN(G2:G127)</f>
        <v>7.0000000000000007E-2</v>
      </c>
      <c r="H132" s="4">
        <f t="shared" si="146"/>
        <v>0.15</v>
      </c>
      <c r="I132" s="4">
        <f t="shared" si="146"/>
        <v>5.6999999999999995E-2</v>
      </c>
      <c r="J132" s="4">
        <f t="shared" si="146"/>
        <v>0.14000000000000001</v>
      </c>
      <c r="K132" s="4">
        <f t="shared" si="146"/>
        <v>0.1</v>
      </c>
      <c r="L132" s="4">
        <f t="shared" si="146"/>
        <v>2.1000000000000001E-2</v>
      </c>
      <c r="M132" s="4">
        <f t="shared" si="146"/>
        <v>0.3</v>
      </c>
      <c r="N132" s="4">
        <f t="shared" si="146"/>
        <v>8.1508743953729663</v>
      </c>
      <c r="O132" s="4">
        <f t="shared" si="146"/>
        <v>2.1006099237914579</v>
      </c>
      <c r="P132" s="4">
        <f t="shared" si="146"/>
        <v>5.6506741233695372</v>
      </c>
      <c r="Q132" s="4">
        <f t="shared" si="146"/>
        <v>1.5</v>
      </c>
      <c r="R132" s="4"/>
      <c r="S132" s="4">
        <f>MIN(S2:S127)</f>
        <v>0.4</v>
      </c>
      <c r="T132" s="4">
        <f t="shared" ref="T132:AA132" si="147">MIN(T2:T127)</f>
        <v>0.15893159811265478</v>
      </c>
      <c r="U132" s="4">
        <f t="shared" si="147"/>
        <v>0.22453354784774604</v>
      </c>
      <c r="V132" s="4">
        <f t="shared" si="147"/>
        <v>1</v>
      </c>
      <c r="W132" s="4">
        <f t="shared" si="147"/>
        <v>0.22453354784774604</v>
      </c>
      <c r="X132" s="4">
        <f t="shared" si="147"/>
        <v>0.2510421940777362</v>
      </c>
      <c r="Y132" s="4">
        <f t="shared" si="147"/>
        <v>0.75</v>
      </c>
      <c r="Z132" s="4">
        <f t="shared" si="147"/>
        <v>1.401923788646684</v>
      </c>
      <c r="AA132" s="4">
        <f t="shared" si="147"/>
        <v>2.512588587163175E-2</v>
      </c>
      <c r="AB132" s="11"/>
      <c r="AC132" s="4"/>
      <c r="AD132" s="4">
        <f>MIN(AD2:AD127)</f>
        <v>0.95</v>
      </c>
      <c r="AE132" s="4">
        <f t="shared" ref="AE132:AL132" si="148">MIN(AE2:AE127)</f>
        <v>0.02</v>
      </c>
      <c r="AF132" s="4">
        <f t="shared" si="148"/>
        <v>0.25</v>
      </c>
      <c r="AG132" s="4"/>
      <c r="AH132" s="4">
        <f t="shared" si="148"/>
        <v>0.34</v>
      </c>
      <c r="AI132" s="4">
        <f t="shared" si="148"/>
        <v>0.05</v>
      </c>
      <c r="AJ132" s="4">
        <f t="shared" si="148"/>
        <v>1</v>
      </c>
      <c r="AK132" s="4">
        <f t="shared" si="148"/>
        <v>0</v>
      </c>
      <c r="AL132" s="4">
        <f t="shared" si="148"/>
        <v>0</v>
      </c>
      <c r="AM132" s="4"/>
      <c r="AN132" s="4">
        <f>MIN(AN2:AN127)</f>
        <v>0.02</v>
      </c>
      <c r="AO132" s="4">
        <f>MIN(AO2:AO127)</f>
        <v>8.47877190132027E-2</v>
      </c>
      <c r="AP132" s="4">
        <f t="shared" ref="AP132:AS132" si="149">MIN(AP2:AP126)</f>
        <v>8.47877190132027E-2</v>
      </c>
      <c r="AQ132" s="4">
        <f t="shared" si="149"/>
        <v>0.34</v>
      </c>
      <c r="AR132" s="4">
        <f t="shared" si="149"/>
        <v>0.72727272727272729</v>
      </c>
      <c r="AS132" s="4">
        <f t="shared" si="149"/>
        <v>0.56209665848600399</v>
      </c>
      <c r="AT132" s="4">
        <f>MIN(AT2:AT127)</f>
        <v>0.20110201341206912</v>
      </c>
      <c r="AU132" s="4">
        <f>MIN(AU2:AU127)</f>
        <v>6.8728977572160455E-2</v>
      </c>
      <c r="AV132" s="4"/>
      <c r="AW132" s="4">
        <f>MIN(AW2:AW127)</f>
        <v>42</v>
      </c>
      <c r="AX132" s="4">
        <f t="shared" ref="AX132:BF132" si="150">MIN(AX2:AX127)</f>
        <v>4</v>
      </c>
      <c r="AY132" s="4"/>
      <c r="AZ132" s="4">
        <f t="shared" si="150"/>
        <v>0.64615384615384619</v>
      </c>
      <c r="BA132" s="4">
        <f t="shared" si="150"/>
        <v>0.64615384615384619</v>
      </c>
      <c r="BB132" s="4">
        <f t="shared" ref="BB132:BD132" si="151">MIN(BB2:BB127)</f>
        <v>0</v>
      </c>
      <c r="BC132" s="4">
        <f t="shared" si="151"/>
        <v>0</v>
      </c>
      <c r="BD132" s="4">
        <f t="shared" si="151"/>
        <v>0</v>
      </c>
      <c r="BE132" s="4"/>
      <c r="BF132" s="4">
        <f t="shared" si="150"/>
        <v>4.9172886476204936E-2</v>
      </c>
      <c r="BG132" s="4">
        <f t="shared" ref="BG132:BN132" si="152">MIN(BG2:BG127)</f>
        <v>6.7442015507530886E-2</v>
      </c>
      <c r="BH132" s="4"/>
      <c r="BI132" s="4">
        <f t="shared" si="152"/>
        <v>6.7442015507530886E-2</v>
      </c>
      <c r="BJ132" s="4">
        <f t="shared" si="152"/>
        <v>0.10609767341747922</v>
      </c>
      <c r="BK132" s="4">
        <f t="shared" si="152"/>
        <v>0.05</v>
      </c>
      <c r="BL132" s="4"/>
      <c r="BM132" s="4">
        <f t="shared" si="152"/>
        <v>0.16442045042518869</v>
      </c>
      <c r="BN132" s="4">
        <f t="shared" si="152"/>
        <v>0.1803773810996922</v>
      </c>
      <c r="BO132" s="4"/>
      <c r="BP132" s="4"/>
      <c r="BQ132" s="4"/>
    </row>
    <row r="133" spans="6:69" x14ac:dyDescent="0.35"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AI133" s="1"/>
      <c r="AJ133" s="1"/>
      <c r="AK133" s="1"/>
      <c r="AL133" s="1"/>
      <c r="AN133" s="1"/>
      <c r="AO133" s="1"/>
      <c r="AQ133" s="1"/>
      <c r="AR133" s="1"/>
      <c r="AS133" s="1"/>
      <c r="AT133" s="1"/>
      <c r="AU133" s="1"/>
      <c r="AW133" s="1"/>
      <c r="AX133" s="1"/>
      <c r="AZ133" s="1"/>
      <c r="BA133" s="1"/>
      <c r="BB133" s="1"/>
      <c r="BC133" s="1"/>
      <c r="BD133" s="1"/>
      <c r="BF133" s="1"/>
      <c r="BG133" s="1"/>
      <c r="BI133" s="1"/>
      <c r="BJ133" s="1"/>
      <c r="BK133" s="1"/>
      <c r="BM133" s="1"/>
      <c r="BN133" s="1"/>
      <c r="BP133" s="1"/>
      <c r="BQ133" s="1"/>
    </row>
    <row r="134" spans="6:69" x14ac:dyDescent="0.35">
      <c r="AB134" s="1"/>
    </row>
    <row r="135" spans="6:69" x14ac:dyDescent="0.35">
      <c r="Q135" s="6"/>
      <c r="S135" s="1">
        <v>35.554126369283686</v>
      </c>
      <c r="T135" s="9" t="s">
        <v>132</v>
      </c>
      <c r="AN135" s="9"/>
      <c r="AQ135" s="6" t="s">
        <v>133</v>
      </c>
      <c r="AR135">
        <v>0.5</v>
      </c>
      <c r="BA135" s="7">
        <v>0.05</v>
      </c>
      <c r="BB135">
        <f>PERCENTILE($AX$2:$AX$127, 0.05)</f>
        <v>4</v>
      </c>
      <c r="BD135">
        <v>0.4</v>
      </c>
      <c r="BF135">
        <v>0.25</v>
      </c>
      <c r="BG135" t="s">
        <v>134</v>
      </c>
      <c r="BI135" s="1">
        <v>0.55000000000000004</v>
      </c>
      <c r="BJ135" s="1">
        <v>0.1</v>
      </c>
      <c r="BK135" s="1">
        <v>0.35</v>
      </c>
      <c r="BM135" s="1"/>
      <c r="BN135" s="1"/>
      <c r="BP135" s="1"/>
      <c r="BQ135" s="1"/>
    </row>
    <row r="136" spans="6:69" x14ac:dyDescent="0.35">
      <c r="Q136" s="6"/>
      <c r="S136">
        <v>1.6</v>
      </c>
      <c r="T136" s="9" t="s">
        <v>135</v>
      </c>
      <c r="AN136" s="9"/>
      <c r="BA136" s="7">
        <v>0.95</v>
      </c>
      <c r="BB136">
        <f>PERCENTILE($AX$2:$AX$127, 0.95)</f>
        <v>330</v>
      </c>
      <c r="BF136">
        <v>1.1000000000000001</v>
      </c>
      <c r="BG136" t="s">
        <v>136</v>
      </c>
      <c r="BI136" s="1">
        <v>0.2</v>
      </c>
      <c r="BJ136" s="1">
        <v>0.45</v>
      </c>
      <c r="BK136" s="1">
        <v>0.35</v>
      </c>
      <c r="BM136" s="1"/>
      <c r="BN136" s="1"/>
      <c r="BP136" s="1"/>
      <c r="BQ136" s="1"/>
    </row>
    <row r="137" spans="6:69" x14ac:dyDescent="0.35">
      <c r="Q137" s="6"/>
      <c r="S137">
        <v>0.85</v>
      </c>
      <c r="T137" s="9" t="s">
        <v>137</v>
      </c>
      <c r="AN137" s="9"/>
      <c r="BF137">
        <v>0.25</v>
      </c>
      <c r="BG137" t="s">
        <v>138</v>
      </c>
    </row>
    <row r="138" spans="6:69" x14ac:dyDescent="0.35">
      <c r="Q138" s="6"/>
      <c r="S138">
        <v>0.5</v>
      </c>
      <c r="T138" s="9" t="s">
        <v>139</v>
      </c>
      <c r="AN138" s="9"/>
      <c r="AO138" s="9"/>
      <c r="BB138" s="11">
        <f>(AX2 - $BB$135) / ($BB$136 - $BB$135)</f>
        <v>0.12576687116564417</v>
      </c>
      <c r="BF138">
        <v>0.9</v>
      </c>
      <c r="BG138" t="s">
        <v>140</v>
      </c>
    </row>
    <row r="139" spans="6:69" x14ac:dyDescent="0.35">
      <c r="AN139" s="9"/>
      <c r="AO139" s="9"/>
    </row>
    <row r="140" spans="6:69" x14ac:dyDescent="0.35">
      <c r="AN140" s="9"/>
      <c r="AO140" s="9"/>
      <c r="BC140" s="11"/>
      <c r="BD140" s="11"/>
    </row>
    <row r="141" spans="6:69" x14ac:dyDescent="0.35">
      <c r="AN141" s="9"/>
      <c r="AO141" s="9"/>
    </row>
    <row r="142" spans="6:69" x14ac:dyDescent="0.35">
      <c r="AN142" s="9"/>
      <c r="AO142" s="9"/>
    </row>
    <row r="143" spans="6:69" x14ac:dyDescent="0.35">
      <c r="AN143" s="9"/>
      <c r="AO143" s="9"/>
    </row>
    <row r="144" spans="6:69" x14ac:dyDescent="0.35">
      <c r="AN144" s="9"/>
    </row>
    <row r="145" spans="26:40" x14ac:dyDescent="0.35">
      <c r="Z145" s="7"/>
      <c r="AN145" s="9"/>
    </row>
    <row r="146" spans="26:40" x14ac:dyDescent="0.35">
      <c r="Z146" s="7"/>
      <c r="AN146" s="9"/>
    </row>
    <row r="147" spans="26:40" x14ac:dyDescent="0.35">
      <c r="Z147" s="7"/>
      <c r="AN147" s="9"/>
    </row>
    <row r="148" spans="26:40" x14ac:dyDescent="0.35">
      <c r="Z148" s="7"/>
      <c r="AN148" s="9"/>
    </row>
    <row r="149" spans="26:40" x14ac:dyDescent="0.35">
      <c r="Z149" s="7"/>
      <c r="AN149" s="9"/>
    </row>
    <row r="150" spans="26:40" x14ac:dyDescent="0.35">
      <c r="Z150" s="7"/>
      <c r="AN150" s="9"/>
    </row>
    <row r="151" spans="26:40" x14ac:dyDescent="0.35">
      <c r="Z151" s="7"/>
      <c r="AN151" s="9"/>
    </row>
    <row r="152" spans="26:40" x14ac:dyDescent="0.35">
      <c r="Z152" s="7"/>
      <c r="AN152" s="9"/>
    </row>
    <row r="153" spans="26:40" x14ac:dyDescent="0.35">
      <c r="Z153" s="7"/>
      <c r="AN153" s="9"/>
    </row>
    <row r="154" spans="26:40" x14ac:dyDescent="0.35">
      <c r="Z154" s="7"/>
      <c r="AN154" s="9"/>
    </row>
    <row r="155" spans="26:40" x14ac:dyDescent="0.35">
      <c r="AN155" s="9"/>
    </row>
    <row r="156" spans="26:40" x14ac:dyDescent="0.35">
      <c r="AN156" s="9"/>
    </row>
    <row r="157" spans="26:40" x14ac:dyDescent="0.35">
      <c r="AN157" s="9"/>
    </row>
    <row r="158" spans="26:40" x14ac:dyDescent="0.35">
      <c r="AN158" s="9"/>
    </row>
    <row r="159" spans="26:40" x14ac:dyDescent="0.35">
      <c r="AN159" s="9"/>
    </row>
    <row r="160" spans="26:40" x14ac:dyDescent="0.35">
      <c r="AN160" s="9"/>
    </row>
    <row r="161" spans="40:40" x14ac:dyDescent="0.35">
      <c r="AN161" s="9"/>
    </row>
    <row r="162" spans="40:40" x14ac:dyDescent="0.35">
      <c r="AN162" s="9"/>
    </row>
  </sheetData>
  <autoFilter ref="A1:BG126" xr:uid="{8E4E7CDD-5BB0-4C0B-8881-5C8840850F1F}"/>
  <phoneticPr fontId="5" type="noConversion"/>
  <conditionalFormatting sqref="AB2:AB127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3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:AU127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G2:BG12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2:BI12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J2:BJ12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2:BK12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2:BM12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N2:BN127 BP2:BQ12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P2:BP12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Q2:BQ12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920609AE79A2D147BE705567FE1EE30F" ma:contentTypeVersion="16" ma:contentTypeDescription="Создание документа." ma:contentTypeScope="" ma:versionID="91aa091214b65075977070d787169d30">
  <xsd:schema xmlns:xsd="http://www.w3.org/2001/XMLSchema" xmlns:xs="http://www.w3.org/2001/XMLSchema" xmlns:p="http://schemas.microsoft.com/office/2006/metadata/properties" xmlns:ns2="aa1fe1a4-b744-4817-8833-61bd1aed8d59" xmlns:ns3="05c0f392-1b27-4416-b392-f455c43cd137" targetNamespace="http://schemas.microsoft.com/office/2006/metadata/properties" ma:root="true" ma:fieldsID="e694bd6b99760f48ad90efaddaff3f7b" ns2:_="" ns3:_="">
    <xsd:import namespace="aa1fe1a4-b744-4817-8833-61bd1aed8d59"/>
    <xsd:import namespace="05c0f392-1b27-4416-b392-f455c43cd1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fe1a4-b744-4817-8833-61bd1aed8d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a64f6fa0-3c24-4139-8d1b-05cacd3167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c0f392-1b27-4416-b392-f455c43cd13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d22d12b-416a-475b-9de6-b7d4c70a68a6}" ma:internalName="TaxCatchAll" ma:showField="CatchAllData" ma:web="05c0f392-1b27-4416-b392-f455c43cd1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5c0f392-1b27-4416-b392-f455c43cd137" xsi:nil="true"/>
    <lcf76f155ced4ddcb4097134ff3c332f xmlns="aa1fe1a4-b744-4817-8833-61bd1aed8d5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68F614-6CB4-473F-AAC5-820C2FD6B7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1fe1a4-b744-4817-8833-61bd1aed8d59"/>
    <ds:schemaRef ds:uri="05c0f392-1b27-4416-b392-f455c43cd1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741BDB5-5EDB-4808-B321-C3D9A2966CA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E9E9BB-724C-4160-9C09-F6581A5F6DB5}">
  <ds:schemaRefs>
    <ds:schemaRef ds:uri="http://schemas.microsoft.com/office/infopath/2007/PartnerControls"/>
    <ds:schemaRef ds:uri="http://purl.org/dc/elements/1.1/"/>
    <ds:schemaRef ds:uri="aa1fe1a4-b744-4817-8833-61bd1aed8d59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05c0f392-1b27-4416-b392-f455c43cd137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Качество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icom</dc:creator>
  <cp:keywords/>
  <dc:description/>
  <cp:lastModifiedBy>Marina Solovyeva</cp:lastModifiedBy>
  <cp:revision/>
  <dcterms:created xsi:type="dcterms:W3CDTF">2025-07-23T10:10:12Z</dcterms:created>
  <dcterms:modified xsi:type="dcterms:W3CDTF">2025-10-28T11:50:57Z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0x010100920609AE79A2D147BE705567FE1EE30F</vt:lpwstr>
  </property>
  <property fmtid="{D5CDD505-2E9C-101B-9397-08002B2CF9AE}" pid="3" name="MediaServiceImageTags">
    <vt:lpwstr/>
  </property>
</Properties>
</file>